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Tabellenblatt1" sheetId="2" r:id="rId5"/>
  </sheets>
  <definedNames/>
  <calcPr/>
  <extLst>
    <ext uri="GoogleSheetsCustomDataVersion2">
      <go:sheetsCustomData xmlns:go="http://customooxmlschemas.google.com/" r:id="rId6" roundtripDataChecksum="EHXFVWU3qVtM0paQR4TB9QjI6L8h0DNTsSIS+VyLs4I="/>
    </ext>
  </extLst>
</workbook>
</file>

<file path=xl/sharedStrings.xml><?xml version="1.0" encoding="utf-8"?>
<sst xmlns="http://schemas.openxmlformats.org/spreadsheetml/2006/main" count="506" uniqueCount="87">
  <si>
    <t>Def-Lochung</t>
  </si>
  <si>
    <t>Maschenweite</t>
  </si>
  <si>
    <t>Material</t>
  </si>
  <si>
    <t>Stärke</t>
  </si>
  <si>
    <t>Bild</t>
  </si>
  <si>
    <t>Datenblatt</t>
  </si>
  <si>
    <t>Preis</t>
  </si>
  <si>
    <t>Lagerplatz</t>
  </si>
  <si>
    <t>Untertitel</t>
  </si>
  <si>
    <t>Artikel-Nr</t>
  </si>
  <si>
    <t>Material-Gruppe</t>
  </si>
  <si>
    <t>DIN-Bezeichnung (alt)</t>
  </si>
  <si>
    <t>DIN-Bezeichnung (neu)</t>
  </si>
  <si>
    <t>SpezifischesGewicht</t>
  </si>
  <si>
    <t>Freie Fläche</t>
  </si>
  <si>
    <t>Gewicht pro m²</t>
  </si>
  <si>
    <t>DIN</t>
  </si>
  <si>
    <t>Drahtüberstände</t>
  </si>
  <si>
    <t>Toleranzen</t>
  </si>
  <si>
    <t>Hinweis SG</t>
  </si>
  <si>
    <t>Schweißgitter</t>
  </si>
  <si>
    <t>SG 25-25</t>
  </si>
  <si>
    <t>Stahl nachträglich feuerverzinkt</t>
  </si>
  <si>
    <t>3,00 mm</t>
  </si>
  <si>
    <t>https://cdn.shopify.com/s/files/1/0575/0797/1253/files/Schweissgitter__25x25x3_0.jpg?v=1718913782</t>
  </si>
  <si>
    <t>https://cdn.shopify.com/s/files/1/0575/0797/1253/files/SG25x25-3.pdf?v=1725526663</t>
  </si>
  <si>
    <t>//</t>
  </si>
  <si>
    <t>nachträglich feuerverzinkt</t>
  </si>
  <si>
    <t/>
  </si>
  <si>
    <t>8,9 g/cm³</t>
  </si>
  <si>
    <t>80,00 %</t>
  </si>
  <si>
    <t>4,40 Kg</t>
  </si>
  <si>
    <t>ISO9044</t>
  </si>
  <si>
    <t>Nicht entgratet</t>
  </si>
  <si>
    <t>+-5 mm</t>
  </si>
  <si>
    <t>Gut für den Außenbereich geeignet, bei Zuschnitten werden Schnittkanten mit Kaltverzinker versiegelt.</t>
  </si>
  <si>
    <t>Edelstahl (V2A)</t>
  </si>
  <si>
    <t>D/6/0</t>
  </si>
  <si>
    <t>1.4301</t>
  </si>
  <si>
    <t>X5CrNi18-10</t>
  </si>
  <si>
    <t>8 g/cm³</t>
  </si>
  <si>
    <t>Ohne besondere Oberflächenbearbeitung.</t>
  </si>
  <si>
    <t>Stahl</t>
  </si>
  <si>
    <t>C/3/6</t>
  </si>
  <si>
    <t>StW 22</t>
  </si>
  <si>
    <t>DD 11</t>
  </si>
  <si>
    <t>Stahl (verzinkt)</t>
  </si>
  <si>
    <t>Sendzimir (verzinkt)</t>
  </si>
  <si>
    <t>St 02 Z 140</t>
  </si>
  <si>
    <t>DX51D+Z 140</t>
  </si>
  <si>
    <t>Wir weisen darauf hin, dass diese Zinkauflage im Außenbereich keinen ausreichenden und dauerhaften Korrosionsschutz gewährt.</t>
  </si>
  <si>
    <t>SG 30-30</t>
  </si>
  <si>
    <t>https://cdn.shopify.com/s/files/1/0575/0797/1253/files/Schweissgitter__30x30x3_0.jpg?v=1718913782</t>
  </si>
  <si>
    <t>https://cdn.shopify.com/s/files/1/0575/0797/1253/files/SG30x30-3.pdf?v=1725526662</t>
  </si>
  <si>
    <t>83,00 %</t>
  </si>
  <si>
    <t>3,60 Kg</t>
  </si>
  <si>
    <t>C/2/6</t>
  </si>
  <si>
    <t>SG 40-40</t>
  </si>
  <si>
    <t>4,00 mm</t>
  </si>
  <si>
    <t>https://cdn.shopify.com/s/files/1/0575/0797/1253/files/Schweissgitter__40x40x4_0.jpg?v=1718913783</t>
  </si>
  <si>
    <t>https://cdn.shopify.com/s/files/1/0575/0797/1253/files/SG40x40-4.pdf?v=1725526663</t>
  </si>
  <si>
    <t>86,00 %</t>
  </si>
  <si>
    <t>2,70 Kg</t>
  </si>
  <si>
    <t>4,90 Kg</t>
  </si>
  <si>
    <t>SG 50-50</t>
  </si>
  <si>
    <t>https://cdn.shopify.com/s/files/1/0575/0797/1253/files/Schweissgitter__50x50x5_0.jpg?v=1718913782</t>
  </si>
  <si>
    <t>https://cdn.shopify.com/s/files/1/0575/0797/1253/files/SG50x50-5.pdf?v=1719226389</t>
  </si>
  <si>
    <t>85,00 %</t>
  </si>
  <si>
    <t>4,00 Kg</t>
  </si>
  <si>
    <t>5,00 mm</t>
  </si>
  <si>
    <t>6,00 Kg</t>
  </si>
  <si>
    <t>2,20 Kg</t>
  </si>
  <si>
    <t>SG 60-60</t>
  </si>
  <si>
    <t>https://cdn.shopify.com/s/files/1/0575/0797/1253/files/Schweissgitter__60x60x5_0_R.jpg?v=1725524063</t>
  </si>
  <si>
    <t>https://cdn.shopify.com/s/files/1/0575/0797/1253/files/SG60x60-4_6903d41b-a7c9-4497-97c5-fbcc3bc5933a.pdf?v=1725524286</t>
  </si>
  <si>
    <t>3,20 Kg</t>
  </si>
  <si>
    <t>SG 80-80</t>
  </si>
  <si>
    <t>https://cdn.shopify.com/s/files/1/0575/0797/1253/files/Schweissgitter__80x80x4_0_R.jpg?v=1725524063</t>
  </si>
  <si>
    <t>https://cdn.shopify.com/s/files/1/0575/0797/1253/files/SG80x80-4.pdf?v=1725524286</t>
  </si>
  <si>
    <t>2,40 Kg</t>
  </si>
  <si>
    <t>SG 100-100</t>
  </si>
  <si>
    <t>https://cdn.shopify.com/s/files/1/0575/0797/1253/files/Schweissgitter__100x100x5_0_R.jpg?v=1725524064</t>
  </si>
  <si>
    <t>https://cdn.shopify.com/s/files/1/0575/0797/1253/files/SG100x100-5.pdf?v=1725524286</t>
  </si>
  <si>
    <t>3,10 Kg</t>
  </si>
  <si>
    <t>https://cdn.shopify.com/s/files/1/0575/0797/1253/files/SG100x100-4.pdf?v=1725524287</t>
  </si>
  <si>
    <t>89,00 %</t>
  </si>
  <si>
    <t>2,00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</si>
</sst>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shrinkToFit="0" wrapText="0"/>
    </xf>
    <xf borderId="2" fillId="0" fontId="1" numFmtId="0" xfId="0" applyAlignment="1" applyBorder="1" applyFont="1">
      <alignment shrinkToFit="0" wrapText="0"/>
    </xf>
    <xf borderId="2" fillId="0" fontId="1" numFmtId="1" xfId="0" applyAlignment="1" applyBorder="1" applyFont="1" applyNumberForma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4">
        <v>62.5</v>
      </c>
      <c r="H2" s="3" t="s">
        <v>26</v>
      </c>
      <c r="I2" s="3" t="s">
        <v>27</v>
      </c>
      <c r="J2" s="5">
        <v>15816.0</v>
      </c>
      <c r="K2" s="3" t="s">
        <v>22</v>
      </c>
      <c r="L2" s="3" t="s">
        <v>27</v>
      </c>
      <c r="M2" s="3" t="s">
        <v>28</v>
      </c>
      <c r="N2" s="3" t="s">
        <v>29</v>
      </c>
      <c r="O2" s="3" t="s">
        <v>30</v>
      </c>
      <c r="P2" s="5" t="s">
        <v>31</v>
      </c>
      <c r="Q2" s="3" t="s">
        <v>32</v>
      </c>
      <c r="R2" s="3" t="s">
        <v>33</v>
      </c>
      <c r="S2" s="3" t="s">
        <v>34</v>
      </c>
      <c r="T2" s="3" t="s">
        <v>35</v>
      </c>
      <c r="U2" s="2"/>
      <c r="V2" s="2"/>
      <c r="W2" s="2"/>
      <c r="X2" s="2"/>
      <c r="Y2" s="2"/>
      <c r="Z2" s="2"/>
    </row>
    <row r="3">
      <c r="A3" s="3" t="s">
        <v>20</v>
      </c>
      <c r="B3" s="3" t="s">
        <v>21</v>
      </c>
      <c r="C3" s="3" t="s">
        <v>36</v>
      </c>
      <c r="D3" s="3" t="s">
        <v>23</v>
      </c>
      <c r="E3" s="3" t="s">
        <v>24</v>
      </c>
      <c r="F3" s="3" t="s">
        <v>25</v>
      </c>
      <c r="G3" s="4">
        <v>99.5</v>
      </c>
      <c r="H3" s="3" t="s">
        <v>37</v>
      </c>
      <c r="I3" s="3" t="s">
        <v>28</v>
      </c>
      <c r="J3" s="5">
        <v>15807.0</v>
      </c>
      <c r="K3" s="3" t="s">
        <v>36</v>
      </c>
      <c r="L3" s="3" t="s">
        <v>38</v>
      </c>
      <c r="M3" s="3" t="s">
        <v>39</v>
      </c>
      <c r="N3" s="3" t="s">
        <v>40</v>
      </c>
      <c r="O3" s="3" t="s">
        <v>30</v>
      </c>
      <c r="P3" s="5" t="s">
        <v>31</v>
      </c>
      <c r="Q3" s="3" t="s">
        <v>32</v>
      </c>
      <c r="R3" s="3" t="s">
        <v>33</v>
      </c>
      <c r="S3" s="3" t="s">
        <v>34</v>
      </c>
      <c r="T3" s="3" t="s">
        <v>41</v>
      </c>
      <c r="U3" s="2"/>
      <c r="V3" s="2"/>
      <c r="W3" s="2"/>
      <c r="X3" s="2"/>
      <c r="Y3" s="2"/>
      <c r="Z3" s="2"/>
    </row>
    <row r="4">
      <c r="A4" s="3" t="s">
        <v>20</v>
      </c>
      <c r="B4" s="3" t="s">
        <v>21</v>
      </c>
      <c r="C4" s="3" t="s">
        <v>42</v>
      </c>
      <c r="D4" s="3" t="s">
        <v>23</v>
      </c>
      <c r="E4" s="3" t="s">
        <v>24</v>
      </c>
      <c r="F4" s="3" t="s">
        <v>25</v>
      </c>
      <c r="G4" s="4">
        <v>67.5</v>
      </c>
      <c r="H4" s="3" t="s">
        <v>43</v>
      </c>
      <c r="I4" s="3" t="s">
        <v>28</v>
      </c>
      <c r="J4" s="5">
        <v>1798.0</v>
      </c>
      <c r="K4" s="3" t="s">
        <v>42</v>
      </c>
      <c r="L4" s="3" t="s">
        <v>44</v>
      </c>
      <c r="M4" s="3" t="s">
        <v>45</v>
      </c>
      <c r="N4" s="3" t="s">
        <v>40</v>
      </c>
      <c r="O4" s="3" t="s">
        <v>30</v>
      </c>
      <c r="P4" s="5" t="s">
        <v>31</v>
      </c>
      <c r="Q4" s="3" t="s">
        <v>32</v>
      </c>
      <c r="R4" s="3" t="s">
        <v>33</v>
      </c>
      <c r="S4" s="3" t="s">
        <v>34</v>
      </c>
      <c r="T4" s="3" t="s">
        <v>41</v>
      </c>
      <c r="U4" s="2"/>
      <c r="V4" s="2"/>
      <c r="W4" s="2"/>
      <c r="X4" s="2"/>
      <c r="Y4" s="2"/>
      <c r="Z4" s="2"/>
    </row>
    <row r="5">
      <c r="A5" s="3" t="s">
        <v>20</v>
      </c>
      <c r="B5" s="3" t="s">
        <v>21</v>
      </c>
      <c r="C5" s="3" t="s">
        <v>46</v>
      </c>
      <c r="D5" s="3" t="s">
        <v>23</v>
      </c>
      <c r="E5" s="3" t="s">
        <v>24</v>
      </c>
      <c r="F5" s="3" t="s">
        <v>25</v>
      </c>
      <c r="G5" s="4">
        <v>69.0</v>
      </c>
      <c r="H5" s="3" t="s">
        <v>26</v>
      </c>
      <c r="I5" s="3" t="s">
        <v>28</v>
      </c>
      <c r="J5" s="5">
        <v>12615.0</v>
      </c>
      <c r="K5" s="3" t="s">
        <v>47</v>
      </c>
      <c r="L5" s="3" t="s">
        <v>48</v>
      </c>
      <c r="M5" s="3" t="s">
        <v>49</v>
      </c>
      <c r="N5" s="3" t="s">
        <v>40</v>
      </c>
      <c r="O5" s="3" t="s">
        <v>30</v>
      </c>
      <c r="P5" s="5" t="s">
        <v>31</v>
      </c>
      <c r="Q5" s="3" t="s">
        <v>32</v>
      </c>
      <c r="R5" s="3" t="s">
        <v>33</v>
      </c>
      <c r="S5" s="3" t="s">
        <v>34</v>
      </c>
      <c r="T5" s="3" t="s">
        <v>50</v>
      </c>
      <c r="U5" s="2"/>
      <c r="V5" s="2"/>
      <c r="W5" s="2"/>
      <c r="X5" s="2"/>
      <c r="Y5" s="2"/>
      <c r="Z5" s="2"/>
    </row>
    <row r="6">
      <c r="A6" s="3" t="s">
        <v>20</v>
      </c>
      <c r="B6" s="3" t="s">
        <v>51</v>
      </c>
      <c r="C6" s="3" t="s">
        <v>22</v>
      </c>
      <c r="D6" s="3" t="s">
        <v>23</v>
      </c>
      <c r="E6" s="3" t="s">
        <v>52</v>
      </c>
      <c r="F6" s="3" t="s">
        <v>53</v>
      </c>
      <c r="G6" s="4">
        <v>56.0</v>
      </c>
      <c r="H6" s="3" t="s">
        <v>26</v>
      </c>
      <c r="I6" s="3" t="s">
        <v>27</v>
      </c>
      <c r="J6" s="5">
        <v>15817.0</v>
      </c>
      <c r="K6" s="3" t="s">
        <v>22</v>
      </c>
      <c r="L6" s="3" t="s">
        <v>27</v>
      </c>
      <c r="M6" s="3" t="s">
        <v>28</v>
      </c>
      <c r="N6" s="3" t="s">
        <v>29</v>
      </c>
      <c r="O6" s="3" t="s">
        <v>54</v>
      </c>
      <c r="P6" s="5" t="s">
        <v>55</v>
      </c>
      <c r="Q6" s="3" t="s">
        <v>32</v>
      </c>
      <c r="R6" s="3" t="s">
        <v>33</v>
      </c>
      <c r="S6" s="3" t="s">
        <v>34</v>
      </c>
      <c r="T6" s="3" t="s">
        <v>35</v>
      </c>
      <c r="U6" s="2"/>
      <c r="V6" s="2"/>
      <c r="W6" s="2"/>
      <c r="X6" s="2"/>
      <c r="Y6" s="2"/>
      <c r="Z6" s="2"/>
    </row>
    <row r="7">
      <c r="A7" s="3" t="s">
        <v>20</v>
      </c>
      <c r="B7" s="3" t="s">
        <v>51</v>
      </c>
      <c r="C7" s="3" t="s">
        <v>36</v>
      </c>
      <c r="D7" s="3" t="s">
        <v>23</v>
      </c>
      <c r="E7" s="3" t="s">
        <v>52</v>
      </c>
      <c r="F7" s="3" t="s">
        <v>53</v>
      </c>
      <c r="G7" s="4">
        <v>96.0</v>
      </c>
      <c r="H7" s="3" t="s">
        <v>56</v>
      </c>
      <c r="I7" s="3" t="s">
        <v>28</v>
      </c>
      <c r="J7" s="5">
        <v>2111.0</v>
      </c>
      <c r="K7" s="3" t="s">
        <v>36</v>
      </c>
      <c r="L7" s="3" t="s">
        <v>38</v>
      </c>
      <c r="M7" s="3" t="s">
        <v>39</v>
      </c>
      <c r="N7" s="3" t="s">
        <v>40</v>
      </c>
      <c r="O7" s="3" t="s">
        <v>54</v>
      </c>
      <c r="P7" s="5" t="s">
        <v>55</v>
      </c>
      <c r="Q7" s="3" t="s">
        <v>32</v>
      </c>
      <c r="R7" s="3" t="s">
        <v>33</v>
      </c>
      <c r="S7" s="3" t="s">
        <v>34</v>
      </c>
      <c r="T7" s="3" t="s">
        <v>41</v>
      </c>
      <c r="U7" s="2"/>
      <c r="V7" s="2"/>
      <c r="W7" s="2"/>
      <c r="X7" s="2"/>
      <c r="Y7" s="2"/>
      <c r="Z7" s="2"/>
    </row>
    <row r="8">
      <c r="A8" s="3" t="s">
        <v>20</v>
      </c>
      <c r="B8" s="3" t="s">
        <v>51</v>
      </c>
      <c r="C8" s="3" t="s">
        <v>42</v>
      </c>
      <c r="D8" s="3" t="s">
        <v>23</v>
      </c>
      <c r="E8" s="3" t="s">
        <v>52</v>
      </c>
      <c r="F8" s="3" t="s">
        <v>53</v>
      </c>
      <c r="G8" s="4">
        <v>61.5</v>
      </c>
      <c r="H8" s="3" t="s">
        <v>26</v>
      </c>
      <c r="I8" s="3" t="s">
        <v>28</v>
      </c>
      <c r="J8" s="5">
        <v>1799.0</v>
      </c>
      <c r="K8" s="3" t="s">
        <v>42</v>
      </c>
      <c r="L8" s="3" t="s">
        <v>44</v>
      </c>
      <c r="M8" s="3" t="s">
        <v>45</v>
      </c>
      <c r="N8" s="3" t="s">
        <v>40</v>
      </c>
      <c r="O8" s="3" t="s">
        <v>54</v>
      </c>
      <c r="P8" s="5" t="s">
        <v>55</v>
      </c>
      <c r="Q8" s="3" t="s">
        <v>32</v>
      </c>
      <c r="R8" s="3" t="s">
        <v>33</v>
      </c>
      <c r="S8" s="3" t="s">
        <v>34</v>
      </c>
      <c r="T8" s="3" t="s">
        <v>41</v>
      </c>
      <c r="U8" s="2"/>
      <c r="V8" s="2"/>
      <c r="W8" s="2"/>
      <c r="X8" s="2"/>
      <c r="Y8" s="2"/>
      <c r="Z8" s="2"/>
    </row>
    <row r="9">
      <c r="A9" s="3" t="s">
        <v>20</v>
      </c>
      <c r="B9" s="3" t="s">
        <v>51</v>
      </c>
      <c r="C9" s="3" t="s">
        <v>46</v>
      </c>
      <c r="D9" s="3" t="s">
        <v>23</v>
      </c>
      <c r="E9" s="3" t="s">
        <v>52</v>
      </c>
      <c r="F9" s="3" t="s">
        <v>53</v>
      </c>
      <c r="G9" s="4">
        <v>63.0</v>
      </c>
      <c r="H9" s="3" t="s">
        <v>26</v>
      </c>
      <c r="I9" s="3" t="s">
        <v>28</v>
      </c>
      <c r="J9" s="5">
        <v>12618.0</v>
      </c>
      <c r="K9" s="3" t="s">
        <v>47</v>
      </c>
      <c r="L9" s="3" t="s">
        <v>48</v>
      </c>
      <c r="M9" s="3" t="s">
        <v>49</v>
      </c>
      <c r="N9" s="3" t="s">
        <v>40</v>
      </c>
      <c r="O9" s="3" t="s">
        <v>54</v>
      </c>
      <c r="P9" s="5" t="s">
        <v>55</v>
      </c>
      <c r="Q9" s="3" t="s">
        <v>32</v>
      </c>
      <c r="R9" s="3" t="s">
        <v>33</v>
      </c>
      <c r="S9" s="3" t="s">
        <v>34</v>
      </c>
      <c r="T9" s="3" t="s">
        <v>50</v>
      </c>
      <c r="U9" s="2"/>
      <c r="V9" s="2"/>
      <c r="W9" s="2"/>
      <c r="X9" s="2"/>
      <c r="Y9" s="2"/>
      <c r="Z9" s="2"/>
    </row>
    <row r="10">
      <c r="A10" s="3" t="s">
        <v>20</v>
      </c>
      <c r="B10" s="3" t="s">
        <v>57</v>
      </c>
      <c r="C10" s="3" t="s">
        <v>22</v>
      </c>
      <c r="D10" s="3" t="s">
        <v>58</v>
      </c>
      <c r="E10" s="3" t="s">
        <v>59</v>
      </c>
      <c r="F10" s="3" t="s">
        <v>60</v>
      </c>
      <c r="G10" s="4">
        <v>56.0</v>
      </c>
      <c r="H10" s="3" t="s">
        <v>26</v>
      </c>
      <c r="I10" s="3" t="s">
        <v>27</v>
      </c>
      <c r="J10" s="5">
        <v>15818.0</v>
      </c>
      <c r="K10" s="3" t="s">
        <v>22</v>
      </c>
      <c r="L10" s="3" t="s">
        <v>27</v>
      </c>
      <c r="M10" s="3" t="s">
        <v>28</v>
      </c>
      <c r="N10" s="3" t="s">
        <v>29</v>
      </c>
      <c r="O10" s="3" t="s">
        <v>61</v>
      </c>
      <c r="P10" s="5" t="s">
        <v>62</v>
      </c>
      <c r="Q10" s="3" t="s">
        <v>32</v>
      </c>
      <c r="R10" s="3" t="s">
        <v>33</v>
      </c>
      <c r="S10" s="3" t="s">
        <v>34</v>
      </c>
      <c r="T10" s="3" t="s">
        <v>35</v>
      </c>
      <c r="U10" s="2"/>
      <c r="V10" s="2"/>
      <c r="W10" s="2"/>
      <c r="X10" s="2"/>
      <c r="Y10" s="2"/>
      <c r="Z10" s="2"/>
    </row>
    <row r="11">
      <c r="A11" s="3" t="s">
        <v>20</v>
      </c>
      <c r="B11" s="3" t="s">
        <v>57</v>
      </c>
      <c r="C11" s="3" t="s">
        <v>36</v>
      </c>
      <c r="D11" s="3" t="s">
        <v>58</v>
      </c>
      <c r="E11" s="3" t="s">
        <v>59</v>
      </c>
      <c r="F11" s="3" t="s">
        <v>60</v>
      </c>
      <c r="G11" s="4">
        <v>106.0</v>
      </c>
      <c r="H11" s="3" t="s">
        <v>26</v>
      </c>
      <c r="I11" s="3" t="s">
        <v>28</v>
      </c>
      <c r="J11" s="5">
        <v>2032.0</v>
      </c>
      <c r="K11" s="3" t="s">
        <v>36</v>
      </c>
      <c r="L11" s="3" t="s">
        <v>38</v>
      </c>
      <c r="M11" s="3" t="s">
        <v>39</v>
      </c>
      <c r="N11" s="3" t="s">
        <v>40</v>
      </c>
      <c r="O11" s="3" t="s">
        <v>54</v>
      </c>
      <c r="P11" s="5" t="s">
        <v>63</v>
      </c>
      <c r="Q11" s="3" t="s">
        <v>32</v>
      </c>
      <c r="R11" s="3" t="s">
        <v>33</v>
      </c>
      <c r="S11" s="3" t="s">
        <v>34</v>
      </c>
      <c r="T11" s="3" t="s">
        <v>41</v>
      </c>
      <c r="U11" s="2"/>
      <c r="V11" s="2"/>
      <c r="W11" s="2"/>
      <c r="X11" s="2"/>
      <c r="Y11" s="2"/>
      <c r="Z11" s="2"/>
    </row>
    <row r="12">
      <c r="A12" s="3" t="s">
        <v>20</v>
      </c>
      <c r="B12" s="3" t="s">
        <v>57</v>
      </c>
      <c r="C12" s="3" t="s">
        <v>42</v>
      </c>
      <c r="D12" s="3" t="s">
        <v>23</v>
      </c>
      <c r="E12" s="3" t="s">
        <v>59</v>
      </c>
      <c r="F12" s="3" t="s">
        <v>60</v>
      </c>
      <c r="G12" s="4">
        <v>58.5</v>
      </c>
      <c r="H12" s="3" t="s">
        <v>26</v>
      </c>
      <c r="I12" s="3" t="s">
        <v>28</v>
      </c>
      <c r="J12" s="5">
        <v>15801.0</v>
      </c>
      <c r="K12" s="3" t="s">
        <v>42</v>
      </c>
      <c r="L12" s="3" t="s">
        <v>44</v>
      </c>
      <c r="M12" s="3" t="s">
        <v>45</v>
      </c>
      <c r="N12" s="3" t="s">
        <v>40</v>
      </c>
      <c r="O12" s="3" t="s">
        <v>54</v>
      </c>
      <c r="P12" s="5" t="s">
        <v>63</v>
      </c>
      <c r="Q12" s="3" t="s">
        <v>32</v>
      </c>
      <c r="R12" s="3" t="s">
        <v>33</v>
      </c>
      <c r="S12" s="3" t="s">
        <v>34</v>
      </c>
      <c r="T12" s="3" t="s">
        <v>41</v>
      </c>
      <c r="U12" s="2"/>
      <c r="V12" s="2"/>
      <c r="W12" s="2"/>
      <c r="X12" s="2"/>
      <c r="Y12" s="2"/>
      <c r="Z12" s="2"/>
    </row>
    <row r="13">
      <c r="A13" s="3" t="s">
        <v>20</v>
      </c>
      <c r="B13" s="3" t="s">
        <v>57</v>
      </c>
      <c r="C13" s="3" t="s">
        <v>42</v>
      </c>
      <c r="D13" s="3" t="s">
        <v>58</v>
      </c>
      <c r="E13" s="3" t="s">
        <v>59</v>
      </c>
      <c r="F13" s="3" t="s">
        <v>60</v>
      </c>
      <c r="G13" s="4">
        <v>65.5</v>
      </c>
      <c r="H13" s="3" t="s">
        <v>26</v>
      </c>
      <c r="I13" s="3" t="s">
        <v>28</v>
      </c>
      <c r="J13" s="5">
        <v>1801.0</v>
      </c>
      <c r="K13" s="3" t="s">
        <v>42</v>
      </c>
      <c r="L13" s="3" t="s">
        <v>44</v>
      </c>
      <c r="M13" s="3" t="s">
        <v>45</v>
      </c>
      <c r="N13" s="3" t="s">
        <v>40</v>
      </c>
      <c r="O13" s="3" t="s">
        <v>54</v>
      </c>
      <c r="P13" s="5" t="s">
        <v>63</v>
      </c>
      <c r="Q13" s="3" t="s">
        <v>32</v>
      </c>
      <c r="R13" s="3" t="s">
        <v>33</v>
      </c>
      <c r="S13" s="3" t="s">
        <v>34</v>
      </c>
      <c r="T13" s="3" t="s">
        <v>41</v>
      </c>
      <c r="U13" s="2"/>
      <c r="V13" s="2"/>
      <c r="W13" s="2"/>
      <c r="X13" s="2"/>
      <c r="Y13" s="2"/>
      <c r="Z13" s="2"/>
    </row>
    <row r="14">
      <c r="A14" s="3" t="s">
        <v>20</v>
      </c>
      <c r="B14" s="3" t="s">
        <v>57</v>
      </c>
      <c r="C14" s="3" t="s">
        <v>46</v>
      </c>
      <c r="D14" s="3" t="s">
        <v>58</v>
      </c>
      <c r="E14" s="3" t="s">
        <v>59</v>
      </c>
      <c r="F14" s="3" t="s">
        <v>60</v>
      </c>
      <c r="G14" s="4">
        <v>76.0</v>
      </c>
      <c r="H14" s="3" t="s">
        <v>26</v>
      </c>
      <c r="I14" s="3" t="s">
        <v>28</v>
      </c>
      <c r="J14" s="5">
        <v>15833.0</v>
      </c>
      <c r="K14" s="3" t="s">
        <v>47</v>
      </c>
      <c r="L14" s="3" t="s">
        <v>48</v>
      </c>
      <c r="M14" s="3" t="s">
        <v>49</v>
      </c>
      <c r="N14" s="3" t="s">
        <v>40</v>
      </c>
      <c r="O14" s="3" t="s">
        <v>54</v>
      </c>
      <c r="P14" s="5" t="s">
        <v>63</v>
      </c>
      <c r="Q14" s="3" t="s">
        <v>32</v>
      </c>
      <c r="R14" s="3" t="s">
        <v>33</v>
      </c>
      <c r="S14" s="3" t="s">
        <v>34</v>
      </c>
      <c r="T14" s="3" t="s">
        <v>50</v>
      </c>
      <c r="U14" s="2"/>
      <c r="V14" s="2"/>
      <c r="W14" s="2"/>
      <c r="X14" s="2"/>
      <c r="Y14" s="2"/>
      <c r="Z14" s="2"/>
    </row>
    <row r="15">
      <c r="A15" s="3" t="s">
        <v>20</v>
      </c>
      <c r="B15" s="3" t="s">
        <v>64</v>
      </c>
      <c r="C15" s="3" t="s">
        <v>22</v>
      </c>
      <c r="D15" s="3" t="s">
        <v>58</v>
      </c>
      <c r="E15" s="3" t="s">
        <v>65</v>
      </c>
      <c r="F15" s="3" t="s">
        <v>66</v>
      </c>
      <c r="G15" s="4">
        <v>48.5</v>
      </c>
      <c r="H15" s="3" t="s">
        <v>26</v>
      </c>
      <c r="I15" s="3" t="s">
        <v>27</v>
      </c>
      <c r="J15" s="5">
        <v>15819.0</v>
      </c>
      <c r="K15" s="3" t="s">
        <v>22</v>
      </c>
      <c r="L15" s="3" t="s">
        <v>27</v>
      </c>
      <c r="M15" s="3" t="s">
        <v>28</v>
      </c>
      <c r="N15" s="3" t="s">
        <v>29</v>
      </c>
      <c r="O15" s="3" t="s">
        <v>67</v>
      </c>
      <c r="P15" s="5" t="s">
        <v>68</v>
      </c>
      <c r="Q15" s="3" t="s">
        <v>32</v>
      </c>
      <c r="R15" s="3" t="s">
        <v>33</v>
      </c>
      <c r="S15" s="3" t="s">
        <v>34</v>
      </c>
      <c r="T15" s="3" t="s">
        <v>35</v>
      </c>
      <c r="U15" s="2"/>
      <c r="V15" s="2"/>
      <c r="W15" s="2"/>
      <c r="X15" s="2"/>
      <c r="Y15" s="2"/>
      <c r="Z15" s="2"/>
    </row>
    <row r="16">
      <c r="A16" s="3" t="s">
        <v>20</v>
      </c>
      <c r="B16" s="3" t="s">
        <v>64</v>
      </c>
      <c r="C16" s="3" t="s">
        <v>36</v>
      </c>
      <c r="D16" s="3" t="s">
        <v>69</v>
      </c>
      <c r="E16" s="3" t="s">
        <v>65</v>
      </c>
      <c r="F16" s="3" t="s">
        <v>66</v>
      </c>
      <c r="G16" s="4">
        <v>111.0</v>
      </c>
      <c r="H16" s="3" t="s">
        <v>37</v>
      </c>
      <c r="I16" s="3" t="s">
        <v>28</v>
      </c>
      <c r="J16" s="5">
        <v>12633.0</v>
      </c>
      <c r="K16" s="3" t="s">
        <v>36</v>
      </c>
      <c r="L16" s="3" t="s">
        <v>38</v>
      </c>
      <c r="M16" s="3" t="s">
        <v>39</v>
      </c>
      <c r="N16" s="3" t="s">
        <v>40</v>
      </c>
      <c r="O16" s="3" t="s">
        <v>54</v>
      </c>
      <c r="P16" s="5" t="s">
        <v>70</v>
      </c>
      <c r="Q16" s="3" t="s">
        <v>32</v>
      </c>
      <c r="R16" s="3" t="s">
        <v>33</v>
      </c>
      <c r="S16" s="3" t="s">
        <v>34</v>
      </c>
      <c r="T16" s="3" t="s">
        <v>41</v>
      </c>
      <c r="U16" s="2"/>
      <c r="V16" s="2"/>
      <c r="W16" s="2"/>
      <c r="X16" s="2"/>
      <c r="Y16" s="2"/>
      <c r="Z16" s="2"/>
    </row>
    <row r="17">
      <c r="A17" s="3" t="s">
        <v>20</v>
      </c>
      <c r="B17" s="3" t="s">
        <v>64</v>
      </c>
      <c r="C17" s="3" t="s">
        <v>42</v>
      </c>
      <c r="D17" s="3" t="s">
        <v>23</v>
      </c>
      <c r="E17" s="3" t="s">
        <v>65</v>
      </c>
      <c r="F17" s="3" t="s">
        <v>66</v>
      </c>
      <c r="G17" s="4">
        <v>49.5</v>
      </c>
      <c r="H17" s="3" t="s">
        <v>26</v>
      </c>
      <c r="I17" s="3" t="s">
        <v>28</v>
      </c>
      <c r="J17" s="5">
        <v>1802.0</v>
      </c>
      <c r="K17" s="3" t="s">
        <v>42</v>
      </c>
      <c r="L17" s="3" t="s">
        <v>44</v>
      </c>
      <c r="M17" s="3" t="s">
        <v>45</v>
      </c>
      <c r="N17" s="3" t="s">
        <v>40</v>
      </c>
      <c r="O17" s="3" t="s">
        <v>61</v>
      </c>
      <c r="P17" s="5" t="s">
        <v>71</v>
      </c>
      <c r="Q17" s="3" t="s">
        <v>32</v>
      </c>
      <c r="R17" s="3" t="s">
        <v>33</v>
      </c>
      <c r="S17" s="3" t="s">
        <v>34</v>
      </c>
      <c r="T17" s="3" t="s">
        <v>41</v>
      </c>
      <c r="U17" s="2"/>
      <c r="V17" s="2"/>
      <c r="W17" s="2"/>
      <c r="X17" s="2"/>
      <c r="Y17" s="2"/>
      <c r="Z17" s="2"/>
    </row>
    <row r="18">
      <c r="A18" s="3" t="s">
        <v>20</v>
      </c>
      <c r="B18" s="3" t="s">
        <v>64</v>
      </c>
      <c r="C18" s="3" t="s">
        <v>42</v>
      </c>
      <c r="D18" s="3" t="s">
        <v>58</v>
      </c>
      <c r="E18" s="3" t="s">
        <v>65</v>
      </c>
      <c r="F18" s="3" t="s">
        <v>66</v>
      </c>
      <c r="G18" s="4">
        <v>53.5</v>
      </c>
      <c r="H18" s="3" t="s">
        <v>26</v>
      </c>
      <c r="I18" s="3" t="s">
        <v>28</v>
      </c>
      <c r="J18" s="5">
        <v>1803.0</v>
      </c>
      <c r="K18" s="3" t="s">
        <v>42</v>
      </c>
      <c r="L18" s="3" t="s">
        <v>44</v>
      </c>
      <c r="M18" s="3" t="s">
        <v>45</v>
      </c>
      <c r="N18" s="3" t="s">
        <v>40</v>
      </c>
      <c r="O18" s="3" t="s">
        <v>67</v>
      </c>
      <c r="P18" s="5" t="s">
        <v>68</v>
      </c>
      <c r="Q18" s="3" t="s">
        <v>32</v>
      </c>
      <c r="R18" s="3" t="s">
        <v>33</v>
      </c>
      <c r="S18" s="3" t="s">
        <v>34</v>
      </c>
      <c r="T18" s="3" t="s">
        <v>41</v>
      </c>
      <c r="U18" s="2"/>
      <c r="V18" s="2"/>
      <c r="W18" s="2"/>
      <c r="X18" s="2"/>
      <c r="Y18" s="2"/>
      <c r="Z18" s="2"/>
    </row>
    <row r="19">
      <c r="A19" s="3" t="s">
        <v>20</v>
      </c>
      <c r="B19" s="3" t="s">
        <v>64</v>
      </c>
      <c r="C19" s="3" t="s">
        <v>42</v>
      </c>
      <c r="D19" s="3" t="s">
        <v>69</v>
      </c>
      <c r="E19" s="3" t="s">
        <v>65</v>
      </c>
      <c r="F19" s="3" t="s">
        <v>66</v>
      </c>
      <c r="G19" s="4">
        <v>61.0</v>
      </c>
      <c r="H19" s="3" t="s">
        <v>26</v>
      </c>
      <c r="I19" s="3" t="s">
        <v>28</v>
      </c>
      <c r="J19" s="5">
        <v>1804.0</v>
      </c>
      <c r="K19" s="3" t="s">
        <v>42</v>
      </c>
      <c r="L19" s="3" t="s">
        <v>44</v>
      </c>
      <c r="M19" s="3" t="s">
        <v>45</v>
      </c>
      <c r="N19" s="3" t="s">
        <v>40</v>
      </c>
      <c r="O19" s="3" t="s">
        <v>54</v>
      </c>
      <c r="P19" s="5" t="s">
        <v>70</v>
      </c>
      <c r="Q19" s="3" t="s">
        <v>32</v>
      </c>
      <c r="R19" s="3" t="s">
        <v>33</v>
      </c>
      <c r="S19" s="3" t="s">
        <v>34</v>
      </c>
      <c r="T19" s="3" t="s">
        <v>41</v>
      </c>
      <c r="U19" s="2"/>
      <c r="V19" s="2"/>
      <c r="W19" s="2"/>
      <c r="X19" s="2"/>
      <c r="Y19" s="2"/>
      <c r="Z19" s="2"/>
    </row>
    <row r="20">
      <c r="A20" s="3" t="s">
        <v>20</v>
      </c>
      <c r="B20" s="3" t="s">
        <v>64</v>
      </c>
      <c r="C20" s="3" t="s">
        <v>46</v>
      </c>
      <c r="D20" s="3" t="s">
        <v>58</v>
      </c>
      <c r="E20" s="3" t="s">
        <v>65</v>
      </c>
      <c r="F20" s="3" t="s">
        <v>66</v>
      </c>
      <c r="G20" s="4">
        <v>55.0</v>
      </c>
      <c r="H20" s="3" t="s">
        <v>26</v>
      </c>
      <c r="I20" s="3" t="s">
        <v>28</v>
      </c>
      <c r="J20" s="5">
        <v>12631.0</v>
      </c>
      <c r="K20" s="3" t="s">
        <v>47</v>
      </c>
      <c r="L20" s="3" t="s">
        <v>48</v>
      </c>
      <c r="M20" s="3" t="s">
        <v>49</v>
      </c>
      <c r="N20" s="3" t="s">
        <v>40</v>
      </c>
      <c r="O20" s="3" t="s">
        <v>67</v>
      </c>
      <c r="P20" s="5" t="s">
        <v>68</v>
      </c>
      <c r="Q20" s="3" t="s">
        <v>32</v>
      </c>
      <c r="R20" s="3" t="s">
        <v>33</v>
      </c>
      <c r="S20" s="3" t="s">
        <v>34</v>
      </c>
      <c r="T20" s="3" t="s">
        <v>50</v>
      </c>
      <c r="U20" s="2"/>
      <c r="V20" s="2"/>
      <c r="W20" s="2"/>
      <c r="X20" s="2"/>
      <c r="Y20" s="2"/>
      <c r="Z20" s="2"/>
    </row>
    <row r="21" ht="15.75" customHeight="1">
      <c r="A21" s="3" t="s">
        <v>20</v>
      </c>
      <c r="B21" s="3" t="s">
        <v>72</v>
      </c>
      <c r="C21" s="3" t="s">
        <v>42</v>
      </c>
      <c r="D21" s="3" t="s">
        <v>58</v>
      </c>
      <c r="E21" s="3" t="s">
        <v>73</v>
      </c>
      <c r="F21" s="3" t="s">
        <v>74</v>
      </c>
      <c r="G21" s="4">
        <v>53.5</v>
      </c>
      <c r="H21" s="3" t="s">
        <v>26</v>
      </c>
      <c r="I21" s="3" t="s">
        <v>28</v>
      </c>
      <c r="J21" s="5">
        <v>15686.0</v>
      </c>
      <c r="K21" s="3" t="s">
        <v>42</v>
      </c>
      <c r="L21" s="3" t="s">
        <v>44</v>
      </c>
      <c r="M21" s="3" t="s">
        <v>45</v>
      </c>
      <c r="N21" s="3" t="s">
        <v>40</v>
      </c>
      <c r="O21" s="3" t="s">
        <v>54</v>
      </c>
      <c r="P21" s="5" t="s">
        <v>75</v>
      </c>
      <c r="Q21" s="3" t="s">
        <v>32</v>
      </c>
      <c r="R21" s="3" t="s">
        <v>33</v>
      </c>
      <c r="S21" s="3" t="s">
        <v>34</v>
      </c>
      <c r="T21" s="3" t="s">
        <v>41</v>
      </c>
      <c r="U21" s="2"/>
      <c r="V21" s="2"/>
      <c r="W21" s="2"/>
      <c r="X21" s="2"/>
      <c r="Y21" s="2"/>
      <c r="Z21" s="2"/>
    </row>
    <row r="22" ht="15.75" customHeight="1">
      <c r="A22" s="3" t="s">
        <v>20</v>
      </c>
      <c r="B22" s="3" t="s">
        <v>76</v>
      </c>
      <c r="C22" s="3" t="s">
        <v>36</v>
      </c>
      <c r="D22" s="3" t="s">
        <v>58</v>
      </c>
      <c r="E22" s="3" t="s">
        <v>77</v>
      </c>
      <c r="F22" s="3" t="s">
        <v>78</v>
      </c>
      <c r="G22" s="4">
        <v>86.5</v>
      </c>
      <c r="H22" s="3" t="s">
        <v>26</v>
      </c>
      <c r="I22" s="3" t="s">
        <v>28</v>
      </c>
      <c r="J22" s="5">
        <v>15684.0</v>
      </c>
      <c r="K22" s="3" t="s">
        <v>36</v>
      </c>
      <c r="L22" s="3" t="s">
        <v>38</v>
      </c>
      <c r="M22" s="3" t="s">
        <v>39</v>
      </c>
      <c r="N22" s="3" t="s">
        <v>40</v>
      </c>
      <c r="O22" s="3" t="s">
        <v>54</v>
      </c>
      <c r="P22" s="5" t="s">
        <v>79</v>
      </c>
      <c r="Q22" s="3" t="s">
        <v>32</v>
      </c>
      <c r="R22" s="3" t="s">
        <v>33</v>
      </c>
      <c r="S22" s="3" t="s">
        <v>34</v>
      </c>
      <c r="T22" s="3" t="s">
        <v>41</v>
      </c>
      <c r="U22" s="2"/>
      <c r="V22" s="2"/>
      <c r="W22" s="2"/>
      <c r="X22" s="2"/>
      <c r="Y22" s="2"/>
      <c r="Z22" s="2"/>
    </row>
    <row r="23" ht="15.75" customHeight="1">
      <c r="A23" s="3" t="s">
        <v>20</v>
      </c>
      <c r="B23" s="3" t="s">
        <v>76</v>
      </c>
      <c r="C23" s="3" t="s">
        <v>42</v>
      </c>
      <c r="D23" s="3" t="s">
        <v>58</v>
      </c>
      <c r="E23" s="3" t="s">
        <v>77</v>
      </c>
      <c r="F23" s="3" t="s">
        <v>78</v>
      </c>
      <c r="G23" s="4">
        <v>36.0</v>
      </c>
      <c r="H23" s="3" t="s">
        <v>26</v>
      </c>
      <c r="I23" s="3" t="s">
        <v>28</v>
      </c>
      <c r="J23" s="5">
        <v>15685.0</v>
      </c>
      <c r="K23" s="3" t="s">
        <v>42</v>
      </c>
      <c r="L23" s="3" t="s">
        <v>44</v>
      </c>
      <c r="M23" s="3" t="s">
        <v>45</v>
      </c>
      <c r="N23" s="3" t="s">
        <v>40</v>
      </c>
      <c r="O23" s="3" t="s">
        <v>54</v>
      </c>
      <c r="P23" s="5" t="s">
        <v>79</v>
      </c>
      <c r="Q23" s="3" t="s">
        <v>32</v>
      </c>
      <c r="R23" s="3" t="s">
        <v>33</v>
      </c>
      <c r="S23" s="3" t="s">
        <v>34</v>
      </c>
      <c r="T23" s="3" t="s">
        <v>41</v>
      </c>
      <c r="U23" s="2"/>
      <c r="V23" s="2"/>
      <c r="W23" s="2"/>
      <c r="X23" s="2"/>
      <c r="Y23" s="2"/>
      <c r="Z23" s="2"/>
    </row>
    <row r="24" ht="15.75" customHeight="1">
      <c r="A24" s="3" t="s">
        <v>20</v>
      </c>
      <c r="B24" s="3" t="s">
        <v>80</v>
      </c>
      <c r="C24" s="3" t="s">
        <v>22</v>
      </c>
      <c r="D24" s="3" t="s">
        <v>58</v>
      </c>
      <c r="E24" s="3" t="s">
        <v>81</v>
      </c>
      <c r="F24" s="3" t="s">
        <v>82</v>
      </c>
      <c r="G24" s="4">
        <v>84.0</v>
      </c>
      <c r="H24" s="3" t="s">
        <v>26</v>
      </c>
      <c r="I24" s="3" t="s">
        <v>27</v>
      </c>
      <c r="J24" s="5">
        <v>15780.0</v>
      </c>
      <c r="K24" s="3" t="s">
        <v>22</v>
      </c>
      <c r="L24" s="3" t="s">
        <v>27</v>
      </c>
      <c r="M24" s="3" t="s">
        <v>28</v>
      </c>
      <c r="N24" s="3" t="s">
        <v>29</v>
      </c>
      <c r="O24" s="3" t="s">
        <v>61</v>
      </c>
      <c r="P24" s="5" t="s">
        <v>83</v>
      </c>
      <c r="Q24" s="3" t="s">
        <v>32</v>
      </c>
      <c r="R24" s="3" t="s">
        <v>33</v>
      </c>
      <c r="S24" s="3" t="s">
        <v>34</v>
      </c>
      <c r="T24" s="3" t="s">
        <v>35</v>
      </c>
      <c r="U24" s="2"/>
      <c r="V24" s="2"/>
      <c r="W24" s="2"/>
      <c r="X24" s="2"/>
      <c r="Y24" s="2"/>
      <c r="Z24" s="2"/>
    </row>
    <row r="25" ht="15.75" customHeight="1">
      <c r="A25" s="3" t="s">
        <v>20</v>
      </c>
      <c r="B25" s="3" t="s">
        <v>80</v>
      </c>
      <c r="C25" s="3" t="s">
        <v>22</v>
      </c>
      <c r="D25" s="3" t="s">
        <v>69</v>
      </c>
      <c r="E25" s="3" t="s">
        <v>81</v>
      </c>
      <c r="F25" s="3" t="s">
        <v>82</v>
      </c>
      <c r="G25" s="4">
        <v>84.5</v>
      </c>
      <c r="H25" s="3" t="s">
        <v>26</v>
      </c>
      <c r="I25" s="3" t="s">
        <v>27</v>
      </c>
      <c r="J25" s="5">
        <v>15815.0</v>
      </c>
      <c r="K25" s="3" t="s">
        <v>22</v>
      </c>
      <c r="L25" s="3" t="s">
        <v>27</v>
      </c>
      <c r="M25" s="3" t="s">
        <v>28</v>
      </c>
      <c r="N25" s="3" t="s">
        <v>29</v>
      </c>
      <c r="O25" s="3" t="s">
        <v>61</v>
      </c>
      <c r="P25" s="5" t="s">
        <v>83</v>
      </c>
      <c r="Q25" s="3" t="s">
        <v>32</v>
      </c>
      <c r="R25" s="3" t="s">
        <v>33</v>
      </c>
      <c r="S25" s="3" t="s">
        <v>34</v>
      </c>
      <c r="T25" s="3" t="s">
        <v>35</v>
      </c>
      <c r="U25" s="2"/>
      <c r="V25" s="2"/>
      <c r="W25" s="2"/>
      <c r="X25" s="2"/>
      <c r="Y25" s="2"/>
      <c r="Z25" s="2"/>
    </row>
    <row r="26" ht="15.75" customHeight="1">
      <c r="A26" s="3" t="s">
        <v>20</v>
      </c>
      <c r="B26" s="3" t="s">
        <v>80</v>
      </c>
      <c r="C26" s="3" t="s">
        <v>36</v>
      </c>
      <c r="D26" s="3" t="s">
        <v>69</v>
      </c>
      <c r="E26" s="3" t="s">
        <v>81</v>
      </c>
      <c r="F26" s="3" t="s">
        <v>82</v>
      </c>
      <c r="G26" s="4">
        <v>99.5</v>
      </c>
      <c r="H26" s="3" t="s">
        <v>26</v>
      </c>
      <c r="I26" s="3" t="s">
        <v>28</v>
      </c>
      <c r="J26" s="5">
        <v>1807.0</v>
      </c>
      <c r="K26" s="3" t="s">
        <v>36</v>
      </c>
      <c r="L26" s="3" t="s">
        <v>38</v>
      </c>
      <c r="M26" s="3" t="s">
        <v>39</v>
      </c>
      <c r="N26" s="3" t="s">
        <v>40</v>
      </c>
      <c r="O26" s="3" t="s">
        <v>61</v>
      </c>
      <c r="P26" s="5" t="s">
        <v>83</v>
      </c>
      <c r="Q26" s="3" t="s">
        <v>32</v>
      </c>
      <c r="R26" s="3" t="s">
        <v>33</v>
      </c>
      <c r="S26" s="3" t="s">
        <v>34</v>
      </c>
      <c r="T26" s="3" t="s">
        <v>41</v>
      </c>
      <c r="U26" s="2"/>
      <c r="V26" s="2"/>
      <c r="W26" s="2"/>
      <c r="X26" s="2"/>
      <c r="Y26" s="2"/>
      <c r="Z26" s="2"/>
    </row>
    <row r="27" ht="15.75" customHeight="1">
      <c r="A27" s="3" t="s">
        <v>20</v>
      </c>
      <c r="B27" s="3" t="s">
        <v>80</v>
      </c>
      <c r="C27" s="3" t="s">
        <v>42</v>
      </c>
      <c r="D27" s="3" t="s">
        <v>69</v>
      </c>
      <c r="E27" s="3" t="s">
        <v>81</v>
      </c>
      <c r="F27" s="3" t="s">
        <v>82</v>
      </c>
      <c r="G27" s="4">
        <v>57.5</v>
      </c>
      <c r="H27" s="3" t="s">
        <v>26</v>
      </c>
      <c r="I27" s="3" t="s">
        <v>28</v>
      </c>
      <c r="J27" s="5">
        <v>1806.0</v>
      </c>
      <c r="K27" s="3" t="s">
        <v>42</v>
      </c>
      <c r="L27" s="3" t="s">
        <v>44</v>
      </c>
      <c r="M27" s="3" t="s">
        <v>45</v>
      </c>
      <c r="N27" s="3" t="s">
        <v>40</v>
      </c>
      <c r="O27" s="3" t="s">
        <v>61</v>
      </c>
      <c r="P27" s="5" t="s">
        <v>83</v>
      </c>
      <c r="Q27" s="3" t="s">
        <v>32</v>
      </c>
      <c r="R27" s="3" t="s">
        <v>33</v>
      </c>
      <c r="S27" s="3" t="s">
        <v>34</v>
      </c>
      <c r="T27" s="3" t="s">
        <v>41</v>
      </c>
      <c r="U27" s="2"/>
      <c r="V27" s="2"/>
      <c r="W27" s="2"/>
      <c r="X27" s="2"/>
      <c r="Y27" s="2"/>
      <c r="Z27" s="2"/>
    </row>
    <row r="28" ht="15.75" customHeight="1">
      <c r="A28" s="3" t="s">
        <v>20</v>
      </c>
      <c r="B28" s="3" t="s">
        <v>80</v>
      </c>
      <c r="C28" s="3" t="s">
        <v>46</v>
      </c>
      <c r="D28" s="3" t="s">
        <v>58</v>
      </c>
      <c r="E28" s="3" t="s">
        <v>81</v>
      </c>
      <c r="F28" s="3" t="s">
        <v>84</v>
      </c>
      <c r="G28" s="4">
        <v>71.5</v>
      </c>
      <c r="H28" s="3" t="s">
        <v>26</v>
      </c>
      <c r="I28" s="3" t="s">
        <v>28</v>
      </c>
      <c r="J28" s="5">
        <v>15834.0</v>
      </c>
      <c r="K28" s="3" t="s">
        <v>47</v>
      </c>
      <c r="L28" s="3" t="s">
        <v>48</v>
      </c>
      <c r="M28" s="3" t="s">
        <v>49</v>
      </c>
      <c r="N28" s="3" t="s">
        <v>40</v>
      </c>
      <c r="O28" s="3" t="s">
        <v>85</v>
      </c>
      <c r="P28" s="5" t="s">
        <v>86</v>
      </c>
      <c r="Q28" s="3" t="s">
        <v>32</v>
      </c>
      <c r="R28" s="3" t="s">
        <v>33</v>
      </c>
      <c r="S28" s="3" t="s">
        <v>34</v>
      </c>
      <c r="T28" s="3" t="s">
        <v>50</v>
      </c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6">
        <f>(14.5+40+(87*2))*1.19</f>
        <v>271.915</v>
      </c>
      <c r="C3" s="6">
        <f>B3/1.19</f>
        <v>228.5</v>
      </c>
    </row>
    <row r="4">
      <c r="B4" s="6"/>
      <c r="C4" s="6"/>
    </row>
    <row r="5">
      <c r="B5" s="6">
        <f>(((14.5+0+(87*D7)))*1.3)*1.19</f>
        <v>27.8419778</v>
      </c>
      <c r="C5" s="6">
        <f>B5/1.19</f>
        <v>23.39662</v>
      </c>
    </row>
    <row r="7">
      <c r="B7" s="7">
        <v>200.0</v>
      </c>
      <c r="C7" s="7">
        <v>201.0</v>
      </c>
      <c r="D7" s="8">
        <f>B7*C7/1000000</f>
        <v>0.0402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2026-04-01T06:53:31Z</dcterms:created>
  <dc:creator>Marc Wesenberg</dc:creator>
</cp:coreProperties>
</file>