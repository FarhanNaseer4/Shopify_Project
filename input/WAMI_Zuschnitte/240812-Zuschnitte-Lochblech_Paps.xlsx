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  <sheet state="visible" name="Neue Preise" sheetId="2" r:id="rId5"/>
    <sheet state="hidden" name="Tabellenblatt2" sheetId="3" r:id="rId6"/>
    <sheet state="hidden" name="Startpreis-Logik" sheetId="4" r:id="rId7"/>
  </sheets>
  <definedNames>
    <definedName hidden="1" localSheetId="0" name="_xlnm._FilterDatabase">Tabelle1!$A$1:$Z$157</definedName>
    <definedName hidden="1" localSheetId="1" name="_xlnm._FilterDatabase">'Neue Preise'!$A$1:$AD$157</definedName>
    <definedName hidden="1" localSheetId="3" name="_xlnm._FilterDatabase">'Startpreis-Logik'!$A$1:$AA$157</definedName>
  </definedNames>
  <calcPr/>
  <extLst>
    <ext uri="GoogleSheetsCustomDataVersion2">
      <go:sheetsCustomData xmlns:go="http://customooxmlschemas.google.com/" r:id="rId8" roundtripDataChecksum="QI+GVPeUbKQ/GgqQT1LtqvjYmB28+ZO22V9viRPEkb4="/>
    </ext>
  </extLst>
</workbook>
</file>

<file path=xl/sharedStrings.xml><?xml version="1.0" encoding="utf-8"?>
<sst xmlns="http://schemas.openxmlformats.org/spreadsheetml/2006/main" count="8652" uniqueCount="391">
  <si>
    <t>Def-Lochung</t>
  </si>
  <si>
    <t>Lochgröße und -abstand</t>
  </si>
  <si>
    <t>Material</t>
  </si>
  <si>
    <t>Stärke</t>
  </si>
  <si>
    <t>Bild</t>
  </si>
  <si>
    <t>Datenblatt</t>
  </si>
  <si>
    <t>Preis</t>
  </si>
  <si>
    <t>Lagerplatz</t>
  </si>
  <si>
    <t>neuer EK</t>
  </si>
  <si>
    <t>Untertitel</t>
  </si>
  <si>
    <t>Artikel-Nr</t>
  </si>
  <si>
    <t>1000x2000</t>
  </si>
  <si>
    <t>Material-Gruppe</t>
  </si>
  <si>
    <t>neue Netto</t>
  </si>
  <si>
    <t>DIN-Bezeichnung (alt)</t>
  </si>
  <si>
    <t>neue Brutto</t>
  </si>
  <si>
    <t>DIN-Bezeichnung (neu)</t>
  </si>
  <si>
    <t>SpezifischesGewicht</t>
  </si>
  <si>
    <t>Ao, gelochte Fläche</t>
  </si>
  <si>
    <t>Gewicht pro m²</t>
  </si>
  <si>
    <t>DIN</t>
  </si>
  <si>
    <t>Daten 9</t>
  </si>
  <si>
    <t>Daten 10</t>
  </si>
  <si>
    <t>Hinweis</t>
  </si>
  <si>
    <t>Quadratlochung (gerade)</t>
  </si>
  <si>
    <t>Qg 4-194</t>
  </si>
  <si>
    <t>Aluminium</t>
  </si>
  <si>
    <t>2,00 mm</t>
  </si>
  <si>
    <t>https://cdn.shopify.com/s/files/1/0575/0797/1253/files/Lochblech_Qg_4-194_907c018a-fb21-4fe6-bc6a-124a0c4c1c82.jpg?v=1697304301</t>
  </si>
  <si>
    <t>https://cdn.shopify.com/s/files/1/0575/0797/1253/files/Qg4-194.pdf?v=1697302554</t>
  </si>
  <si>
    <t>D/3/0</t>
  </si>
  <si>
    <t>(einseitig Folie)</t>
  </si>
  <si>
    <t>Qg 5-8</t>
  </si>
  <si>
    <t>https://cdn.shopify.com/s/files/1/0575/0797/1253/files/Lochblech_Qg_5-8_57d398d2-0c43-4b61-8100-f6b979bcefb9.png?v=1675689731</t>
  </si>
  <si>
    <t>https://cdn.shopify.com/s/files/1/0575/0797/1253/files/Qg5-8.pdf?v=1675691920</t>
  </si>
  <si>
    <t>C/5/1, A2/0</t>
  </si>
  <si>
    <t>Aluminium einseitig Folie</t>
  </si>
  <si>
    <t>(ohne Folie)</t>
  </si>
  <si>
    <t>Al 99,5 % hh, eins. Folie</t>
  </si>
  <si>
    <t>EN AW-1050-A</t>
  </si>
  <si>
    <t>Aluminium ohne Folie</t>
  </si>
  <si>
    <t>2,7 g/cm³</t>
  </si>
  <si>
    <t>Al 99,5 % hh</t>
  </si>
  <si>
    <t>0,04 %</t>
  </si>
  <si>
    <t>EN AW-1050A H24</t>
  </si>
  <si>
    <t>5,4 Kg</t>
  </si>
  <si>
    <t>24041</t>
  </si>
  <si>
    <t>39,10 %</t>
  </si>
  <si>
    <t/>
  </si>
  <si>
    <t>3,29 Kg</t>
  </si>
  <si>
    <t>24042</t>
  </si>
  <si>
    <t>Rückseitig Bearbeitungsspuren möglich.</t>
  </si>
  <si>
    <t>Ohne besondere Oberflächenbearbeitung.</t>
  </si>
  <si>
    <t>Edelstahl (V2A)</t>
  </si>
  <si>
    <t>1,50 mm</t>
  </si>
  <si>
    <t>B/1/2, A3/2</t>
  </si>
  <si>
    <t>1.4301</t>
  </si>
  <si>
    <t>X5CrNi18-10</t>
  </si>
  <si>
    <t>8 g/cm³</t>
  </si>
  <si>
    <t>7,31 Kg</t>
  </si>
  <si>
    <t>B/3/4, A2/2</t>
  </si>
  <si>
    <t>9,745 Kg</t>
  </si>
  <si>
    <t>Stahl</t>
  </si>
  <si>
    <t>1,00 mm</t>
  </si>
  <si>
    <t>B/2/6</t>
  </si>
  <si>
    <t>St 12.03</t>
  </si>
  <si>
    <t>DC 01</t>
  </si>
  <si>
    <t>4,87 Kg</t>
  </si>
  <si>
    <t>C/1/0</t>
  </si>
  <si>
    <t>StW 22</t>
  </si>
  <si>
    <t>DD 11</t>
  </si>
  <si>
    <t>A/4/5, D5/4</t>
  </si>
  <si>
    <t>Stahl (verzinkt)</t>
  </si>
  <si>
    <t>C/5/2</t>
  </si>
  <si>
    <t>Sendzimir verzinkt</t>
  </si>
  <si>
    <t>St 02 Z 140</t>
  </si>
  <si>
    <t>DX51D+Z 140</t>
  </si>
  <si>
    <t>Wir weisen darauf hin, dass diese Zinkauflage im Außenbereich keinen ausreichenden und dauerhaften Korrosionsschutz gewährt.</t>
  </si>
  <si>
    <t>B/4/2, A2/4</t>
  </si>
  <si>
    <t>Qg 5-16</t>
  </si>
  <si>
    <t>https://cdn.shopify.com/s/files/1/0575/0797/1253/files/Lochblech_Qg_5-16.jpg?v=1723471852</t>
  </si>
  <si>
    <t>https://cdn.shopify.com/s/files/1/0575/0797/1253/files/Qg5-16.pdf?v=1723471528</t>
  </si>
  <si>
    <t>9,77 %</t>
  </si>
  <si>
    <t>//</t>
  </si>
  <si>
    <t>(beids. geschl. Korn 240)</t>
  </si>
  <si>
    <t>Edelstahl beids. geschl. Korn 240</t>
  </si>
  <si>
    <t>1.4301 beids. geschl. Korn 240</t>
  </si>
  <si>
    <t>10,83 Kg</t>
  </si>
  <si>
    <t>Beidseitig mit Schutzfolie.</t>
  </si>
  <si>
    <t>14,435 Kg</t>
  </si>
  <si>
    <t>Qg 8-12</t>
  </si>
  <si>
    <t>https://cdn.shopify.com/s/files/1/0575/0797/1253/files/Lochblech_Qg_8-12_b76cfb83-08a7-4883-9c56-8e703217e295.png?v=1675689731</t>
  </si>
  <si>
    <t>https://cdn.shopify.com/s/files/1/0575/0797/1253/files/Qg8-12.pdf?v=1675691920</t>
  </si>
  <si>
    <t>A/4/0, A4/0, A3/3</t>
  </si>
  <si>
    <t>60,00 %</t>
  </si>
  <si>
    <t>2,16 Kg</t>
  </si>
  <si>
    <t>C/2/2</t>
  </si>
  <si>
    <t>4,8 Kg</t>
  </si>
  <si>
    <t>C/1/2</t>
  </si>
  <si>
    <t>6,4 Kg</t>
  </si>
  <si>
    <t>C/5/3</t>
  </si>
  <si>
    <t>B/2/5, D2/3</t>
  </si>
  <si>
    <t>B/3/1, D5/3</t>
  </si>
  <si>
    <t>B/1/3, A2/1</t>
  </si>
  <si>
    <t>Qg 10-12</t>
  </si>
  <si>
    <t>https://cdn.shopify.com/s/files/1/0575/0797/1253/files/Lochblech_Qg_10-12.jpg?v=1723471878</t>
  </si>
  <si>
    <t>https://cdn.shopify.com/s/files/1/0575/0797/1253/files/Qg10-12.pdf?v=1723471528</t>
  </si>
  <si>
    <t>69,40 %</t>
  </si>
  <si>
    <t>1,65 Kg</t>
  </si>
  <si>
    <t>2,45 Kg</t>
  </si>
  <si>
    <t>C/3/3</t>
  </si>
  <si>
    <t>3,67 Kg</t>
  </si>
  <si>
    <t>4,895 Kg</t>
  </si>
  <si>
    <t>B/4/4</t>
  </si>
  <si>
    <t>B/4/1</t>
  </si>
  <si>
    <t>Qg 10-15</t>
  </si>
  <si>
    <t>https://cdn.shopify.com/s/files/1/0575/0797/1253/files/Lochblech_Qg_10-15_0d7c95af-b481-4e91-9066-97d2aaef3e04.png?v=1675689730</t>
  </si>
  <si>
    <t>https://cdn.shopify.com/s/files/1/0575/0797/1253/files/Qg10-15.pdf?v=1680714215</t>
  </si>
  <si>
    <t>B/2/2</t>
  </si>
  <si>
    <t>44,40 %</t>
  </si>
  <si>
    <t>1,5 Kg</t>
  </si>
  <si>
    <t>C/4/0, A4/2, E2/2</t>
  </si>
  <si>
    <t>3 Kg</t>
  </si>
  <si>
    <t>C/1/6</t>
  </si>
  <si>
    <t>4,45 Kg</t>
  </si>
  <si>
    <t>B/1/2, A2/2, P1/0</t>
  </si>
  <si>
    <t>6,67 Kg</t>
  </si>
  <si>
    <t>B/4/0, A1/2</t>
  </si>
  <si>
    <t>8,895 Kg</t>
  </si>
  <si>
    <t>3,00 mm</t>
  </si>
  <si>
    <t>C/2/0</t>
  </si>
  <si>
    <t>13,345 Kg</t>
  </si>
  <si>
    <t>C/1/4</t>
  </si>
  <si>
    <t>B/4/5, D2/0</t>
  </si>
  <si>
    <t>C/3/0, D3/2</t>
  </si>
  <si>
    <t>C/1/1</t>
  </si>
  <si>
    <t>13,3 Kg</t>
  </si>
  <si>
    <t>A/4/5, D3/5</t>
  </si>
  <si>
    <t>C/2/1, D5/1, P1/0</t>
  </si>
  <si>
    <t>C/1/3, A3/3, E2/1</t>
  </si>
  <si>
    <t>C/3/2</t>
  </si>
  <si>
    <t>Qg 10-30</t>
  </si>
  <si>
    <t>https://cdn.shopify.com/s/files/1/0575/0797/1253/files/Lochblech_Qg_10-30_a939a0d7-5f54-4923-87d2-29db9d765fd0.png?v=1675689731</t>
  </si>
  <si>
    <t>https://cdn.shopify.com/s/files/1/0575/0797/1253/files/Qg10-30.pdf?v=1683211527</t>
  </si>
  <si>
    <t>B/2/3, D1/0, E2/2</t>
  </si>
  <si>
    <t>11,11 %</t>
  </si>
  <si>
    <t>A/1/4, A/1/4</t>
  </si>
  <si>
    <t>7,2 Kg</t>
  </si>
  <si>
    <t>B/2/1, A3/2, P1/0</t>
  </si>
  <si>
    <t>10,665 Kg</t>
  </si>
  <si>
    <t>14,22 Kg</t>
  </si>
  <si>
    <t>C/3/3, D2/2</t>
  </si>
  <si>
    <t>Qg 15-40</t>
  </si>
  <si>
    <t>https://cdn.shopify.com/s/files/1/0575/0797/1253/files/Lochblech_Qg_15-40.jpg?v=1681147926</t>
  </si>
  <si>
    <t>https://cdn.shopify.com/s/files/1/0575/0797/1253/files/Qg15-40.pdf?v=1683211527</t>
  </si>
  <si>
    <t>C/3/4, D4/0, E2/1</t>
  </si>
  <si>
    <t>14,06 %</t>
  </si>
  <si>
    <t>4,64 Kg</t>
  </si>
  <si>
    <t>C/5/4, D4/4</t>
  </si>
  <si>
    <t>10,315 Kg</t>
  </si>
  <si>
    <t>Qg 15-60</t>
  </si>
  <si>
    <t>https://cdn.shopify.com/s/files/1/0575/0797/1253/files/Lochblech_Qg_15-60_088cf7fe-30cb-492f-b977-664bf9060ee9.png?v=1675689731</t>
  </si>
  <si>
    <t>https://cdn.shopify.com/s/files/1/0575/0797/1253/files/Qg15-60.pdf?v=1683211527</t>
  </si>
  <si>
    <t>C/4/1, D5/0, E2/3</t>
  </si>
  <si>
    <t>6,30 %</t>
  </si>
  <si>
    <t>5,06 Kg</t>
  </si>
  <si>
    <t>C/4/3, D4/1, A1/4</t>
  </si>
  <si>
    <t>11,245 Kg</t>
  </si>
  <si>
    <t>B/3/6, D5/4</t>
  </si>
  <si>
    <t>Qg 20-25</t>
  </si>
  <si>
    <t>https://cdn.shopify.com/s/files/1/0575/0797/1253/files/Lochblech_Qg_20-25.jpg?v=1697301879</t>
  </si>
  <si>
    <t>https://cdn.shopify.com/s/files/1/0575/0797/1253/files/Qg20-25_02204eea-6632-4207-b894-2a18fcc6e0db.pdf?v=1697302154</t>
  </si>
  <si>
    <t>A/4/4, D/5/1</t>
  </si>
  <si>
    <t>64,00 %</t>
  </si>
  <si>
    <t>1,945 Kg</t>
  </si>
  <si>
    <t>B/1/0</t>
  </si>
  <si>
    <t>4,32 Kg</t>
  </si>
  <si>
    <t>C/5/0</t>
  </si>
  <si>
    <t>5,76 Kg</t>
  </si>
  <si>
    <t>B/2/0</t>
  </si>
  <si>
    <t>Qg 20-50</t>
  </si>
  <si>
    <t>https://cdn.shopify.com/s/files/1/0575/0797/1253/files/Lochblech_Qg_20-50_eed2f17c-e916-4ead-a89a-f00f4890f291.png?v=1675689730</t>
  </si>
  <si>
    <t>https://cdn.shopify.com/s/files/1/0575/0797/1253/files/Qg20-50.pdf?v=1683211528</t>
  </si>
  <si>
    <t>A/4/0, D2/0, E2/3</t>
  </si>
  <si>
    <t>16,00 %</t>
  </si>
  <si>
    <t>4,535 Kg</t>
  </si>
  <si>
    <t>C/4/2, D1/3, P1/0</t>
  </si>
  <si>
    <t>10,08 Kg</t>
  </si>
  <si>
    <t>P/4/0</t>
  </si>
  <si>
    <t>13,44 Kg</t>
  </si>
  <si>
    <t>B/4/1, A2/2</t>
  </si>
  <si>
    <t>Qg 25-70</t>
  </si>
  <si>
    <t>https://cdn.shopify.com/s/files/1/0575/0797/1253/files/Lochblech_Qg_25-70.jpg?v=1697301887</t>
  </si>
  <si>
    <t>https://cdn.shopify.com/s/files/1/0575/0797/1253/files/Qg25-70.pdf?v=1697302170</t>
  </si>
  <si>
    <t>B/1/0, A 3/4</t>
  </si>
  <si>
    <t>12,80 %</t>
  </si>
  <si>
    <t>4,71 Kg</t>
  </si>
  <si>
    <t>B/3/6</t>
  </si>
  <si>
    <t>10,465 Kg</t>
  </si>
  <si>
    <t>Rundlochung (versetzt)</t>
  </si>
  <si>
    <t>Rv 1,1-2</t>
  </si>
  <si>
    <t>https://cdn.shopify.com/s/files/1/0575/0797/1253/files/Lochblech_Rv_1_1-2.jpg?v=1697301900</t>
  </si>
  <si>
    <t>https://cdn.shopify.com/s/files/1/0575/0797/1253/files/Rv1_1-2.pdf?v=1697302171</t>
  </si>
  <si>
    <t>27,44 %</t>
  </si>
  <si>
    <t>1,96 Kg</t>
  </si>
  <si>
    <t>5,805 Kg</t>
  </si>
  <si>
    <t>St 02 Z 275</t>
  </si>
  <si>
    <t>DX51D+Z 275</t>
  </si>
  <si>
    <t>Rv 2-3,5</t>
  </si>
  <si>
    <t>https://cdn.shopify.com/s/files/1/0575/0797/1253/files/Lochblech_Rv_2-3_5_db7b3afe-6f68-4b25-81bc-f249e65b545e.png?v=1681148040</t>
  </si>
  <si>
    <t>https://cdn.shopify.com/s/files/1/0575/0797/1253/files/Rv2_0-3_5.pdf?v=1681234878</t>
  </si>
  <si>
    <t>B/3/2</t>
  </si>
  <si>
    <t>29,62 %</t>
  </si>
  <si>
    <t>2,85 Kg</t>
  </si>
  <si>
    <t>C/4/2</t>
  </si>
  <si>
    <t>5,63 Kg</t>
  </si>
  <si>
    <t>C/3/4</t>
  </si>
  <si>
    <t>8,445 Kg</t>
  </si>
  <si>
    <t>//, D4/0</t>
  </si>
  <si>
    <t>C/4/0</t>
  </si>
  <si>
    <t>B/2/0, C4/4</t>
  </si>
  <si>
    <t>Rv 3-5</t>
  </si>
  <si>
    <t>https://cdn.shopify.com/s/files/1/0575/0797/1253/files/Lochblech_Rv_3-5_02869ed0-675a-44ef-a0a8-0fa187ad9862.png?v=1675689730</t>
  </si>
  <si>
    <t>https://cdn.shopify.com/s/files/1/0575/0797/1253/files/Rv3-5.pdf?v=1681234957</t>
  </si>
  <si>
    <t>C/1/0, D3/5</t>
  </si>
  <si>
    <t>32,65 %</t>
  </si>
  <si>
    <t>1,82 Kg</t>
  </si>
  <si>
    <t>C/3/1</t>
  </si>
  <si>
    <t>2,73 Kg</t>
  </si>
  <si>
    <t>C/2/4, A1/0</t>
  </si>
  <si>
    <t>3,635 Kg</t>
  </si>
  <si>
    <t>B/3/3</t>
  </si>
  <si>
    <t>8,08 Kg</t>
  </si>
  <si>
    <t>B/4/3, A2/0</t>
  </si>
  <si>
    <t>10,775 Kg</t>
  </si>
  <si>
    <t>5,39 Kg</t>
  </si>
  <si>
    <t>A/4/5</t>
  </si>
  <si>
    <t>C/3/6, D1/2</t>
  </si>
  <si>
    <t>A/4/4, E1/3</t>
  </si>
  <si>
    <t>B/4/0</t>
  </si>
  <si>
    <t>Rv 5-8</t>
  </si>
  <si>
    <t>https://cdn.shopify.com/s/files/1/0575/0797/1253/files/Lochblech_Rv_5-8_ab8125ec-e25e-45f8-9060-71763df617bd.png?v=1675689730</t>
  </si>
  <si>
    <t>https://cdn.shopify.com/s/files/1/0575/0797/1253/files/Rv5-8.pdf?v=1681234998</t>
  </si>
  <si>
    <t>B/2/0, P1/0</t>
  </si>
  <si>
    <t>35,00 %</t>
  </si>
  <si>
    <t>1,755 Kg</t>
  </si>
  <si>
    <t>B/1/1, A1/4</t>
  </si>
  <si>
    <t>2,635 Kg</t>
  </si>
  <si>
    <t>C/1/4, D3/1, A1/0</t>
  </si>
  <si>
    <t>3,51 Kg</t>
  </si>
  <si>
    <t>5,265 Kg</t>
  </si>
  <si>
    <t>B/3/0, A1/0</t>
  </si>
  <si>
    <t>5,2 Kg</t>
  </si>
  <si>
    <t>B/1/0, A2/1</t>
  </si>
  <si>
    <t>7,8 Kg</t>
  </si>
  <si>
    <t>A/4/3, D2/1</t>
  </si>
  <si>
    <t>10,4 Kg</t>
  </si>
  <si>
    <t>C/4/6</t>
  </si>
  <si>
    <t>15,6 Kg</t>
  </si>
  <si>
    <t>C/4/0, D4/6</t>
  </si>
  <si>
    <t>A/3/2</t>
  </si>
  <si>
    <t>15,55 Kg</t>
  </si>
  <si>
    <t>C/2/0, D1/0</t>
  </si>
  <si>
    <t>C/3/0, D4/6</t>
  </si>
  <si>
    <t>B/2/4, P1/0</t>
  </si>
  <si>
    <t>C/1/5</t>
  </si>
  <si>
    <t>Rv 8-12</t>
  </si>
  <si>
    <t>https://cdn.shopify.com/s/files/1/0575/0797/1253/files/Lochblech_Rv_8-12_92a6efb2-1e4e-4c38-bd73-f6dc7f2717b3.png?v=1675689731</t>
  </si>
  <si>
    <t>https://cdn.shopify.com/s/files/1/0575/0797/1253/files/Rv8-12.pdf?v=1675691920</t>
  </si>
  <si>
    <t>C/1/3</t>
  </si>
  <si>
    <t>40,31 %</t>
  </si>
  <si>
    <t>2,415 Kg</t>
  </si>
  <si>
    <t>C/2/2, D3/4</t>
  </si>
  <si>
    <t>3,225 Kg</t>
  </si>
  <si>
    <t>4,835 Kg</t>
  </si>
  <si>
    <t>7,165 Kg</t>
  </si>
  <si>
    <t>B/1/5</t>
  </si>
  <si>
    <t>9,55 Kg</t>
  </si>
  <si>
    <t>14,325 Kg</t>
  </si>
  <si>
    <t>C/4/1</t>
  </si>
  <si>
    <t>B/3/0</t>
  </si>
  <si>
    <t>D/4/0, A2/3, E2/3</t>
  </si>
  <si>
    <t>C/2/3</t>
  </si>
  <si>
    <t>Rv 10-15</t>
  </si>
  <si>
    <t>https://cdn.shopify.com/s/files/1/0575/0797/1253/files/Lochblech_Rv_10-15_65ef3367-eab4-4a98-9755-81a510c4d714.png?v=1675689731</t>
  </si>
  <si>
    <t>https://cdn.shopify.com/s/files/1/0575/0797/1253/files/Rv10-15_8747f33c-afb9-46e1-af12-2284dfb88c7f.pdf?v=1681235062</t>
  </si>
  <si>
    <t>40,00 %</t>
  </si>
  <si>
    <t>2,43 Kg</t>
  </si>
  <si>
    <t>B/1/4, A2/3, A1/4</t>
  </si>
  <si>
    <t>3,24 Kg</t>
  </si>
  <si>
    <t>//, A1/0, D4/2</t>
  </si>
  <si>
    <t>4,86 Kg</t>
  </si>
  <si>
    <t>C/4/5</t>
  </si>
  <si>
    <t>C/4/3, D5/1</t>
  </si>
  <si>
    <t>9,6 Kg</t>
  </si>
  <si>
    <t>14,4 Kg</t>
  </si>
  <si>
    <t>C/3/5</t>
  </si>
  <si>
    <t>C/2/5</t>
  </si>
  <si>
    <t>14,35 Kg</t>
  </si>
  <si>
    <t>5,00 mm</t>
  </si>
  <si>
    <t>C/2/6</t>
  </si>
  <si>
    <t>St.37-2</t>
  </si>
  <si>
    <t>S 235 JRG</t>
  </si>
  <si>
    <t>24 Kg</t>
  </si>
  <si>
    <t>B/3/6, D3/5</t>
  </si>
  <si>
    <t>C/1/4, D4/5</t>
  </si>
  <si>
    <t>Rv 20-28</t>
  </si>
  <si>
    <t>https://cdn.shopify.com/s/files/1/0575/0797/1253/files/Lochblech_Rv_20-28.jpg?v=1697301912</t>
  </si>
  <si>
    <t>https://cdn.shopify.com/s/files/1/0575/0797/1253/files/Rv20-28_ea859c85-8c5a-4a03-a252-32dad9043598.pdf?v=1697302169</t>
  </si>
  <si>
    <t>A/2/4, A/2/4</t>
  </si>
  <si>
    <t>46,28 %</t>
  </si>
  <si>
    <t>2,9 Kg</t>
  </si>
  <si>
    <t>C/5/5</t>
  </si>
  <si>
    <t>6,445 Kg</t>
  </si>
  <si>
    <t>8,595 Kg</t>
  </si>
  <si>
    <t>Rundlochung (gerade)</t>
  </si>
  <si>
    <t>Rg 4,5-15</t>
  </si>
  <si>
    <t>https://cdn.shopify.com/s/files/1/0575/0797/1253/files/Lochblech_Rg_4-15.jpg?v=1675689730</t>
  </si>
  <si>
    <t>https://cdn.shopify.com/s/files/1/0575/0797/1253/files/Rg4_5-15.pdf?v=1681235419</t>
  </si>
  <si>
    <t>D/6/1, A/1/1</t>
  </si>
  <si>
    <t>7,07 %</t>
  </si>
  <si>
    <t>7,525 Kg</t>
  </si>
  <si>
    <t>A/4/4, D3/3, E2/5</t>
  </si>
  <si>
    <t>5,02 Kg</t>
  </si>
  <si>
    <t>11,15 Kg</t>
  </si>
  <si>
    <t>B/3/5, D2/6</t>
  </si>
  <si>
    <t>Rg 10-21</t>
  </si>
  <si>
    <t>https://cdn.shopify.com/s/files/1/0575/0797/1253/files/Lochblech_Rg_10-26.jpg?v=1675689730</t>
  </si>
  <si>
    <t>https://cdn.shopify.com/s/files/1/0575/0797/1253/files/Rg10_0-20_78.pdf?v=1681236253</t>
  </si>
  <si>
    <t>B/1/6</t>
  </si>
  <si>
    <t>18,18 %</t>
  </si>
  <si>
    <t>4,42 Kg</t>
  </si>
  <si>
    <t>9,82 Kg</t>
  </si>
  <si>
    <t>Rg 10-26</t>
  </si>
  <si>
    <t>https://cdn.shopify.com/s/files/1/0575/0797/1253/files/Lochblech_Rg_10-21.jpg?v=1675689730</t>
  </si>
  <si>
    <t>https://cdn.shopify.com/s/files/1/0575/0797/1253/files/Rg10_0-25_98.pdf?v=1681235422</t>
  </si>
  <si>
    <t>11,60 %</t>
  </si>
  <si>
    <t>4,775 Kg</t>
  </si>
  <si>
    <t>C/4/4</t>
  </si>
  <si>
    <t>10,61 Kg</t>
  </si>
  <si>
    <t>Rg 20-48</t>
  </si>
  <si>
    <t>https://cdn.shopify.com/s/files/1/0575/0797/1253/files/Lochblech_Rv_20-48_5.jpg?v=1697301931</t>
  </si>
  <si>
    <t>https://cdn.shopify.com/s/files/1/0575/0797/1253/files/Rg20_0-48_5.pdf?v=1697302169</t>
  </si>
  <si>
    <t>B/4/4, D 1/6, E 2/1</t>
  </si>
  <si>
    <t>13,40 %</t>
  </si>
  <si>
    <t>4,675 Kg</t>
  </si>
  <si>
    <t>10,39 Kg</t>
  </si>
  <si>
    <t>Sonderlochung</t>
  </si>
  <si>
    <t>Seifenblase 5/10/15/20</t>
  </si>
  <si>
    <t>https://cdn.shopify.com/s/files/1/0575/0797/1253/files/Lochblech_SB_5_10_15_20.jpg?v=1675689729</t>
  </si>
  <si>
    <t>https://cdn.shopify.com/s/files/1/0575/0797/1253/files/Seifenblas5x10-15x20.pdf?v=1681235778</t>
  </si>
  <si>
    <t>12,20 %</t>
  </si>
  <si>
    <t>4,74 Kg</t>
  </si>
  <si>
    <t>10,535 Kg</t>
  </si>
  <si>
    <t>EVH 8-32x50-50</t>
  </si>
  <si>
    <t>https://cdn.shopify.com/s/files/1/0575/0797/1253/files/Lochblech_EVH_8-32_x_50_50.jpg?v=1697301941</t>
  </si>
  <si>
    <t>https://cdn.shopify.com/s/files/1/0575/0797/1253/files/EVH_8x32-50-50.pdf?v=1697302154</t>
  </si>
  <si>
    <t>8,00 %</t>
  </si>
  <si>
    <t>4,97 Kg</t>
  </si>
  <si>
    <t>24043</t>
  </si>
  <si>
    <t>B/3/6, D1/5</t>
  </si>
  <si>
    <t>11,04 Kg</t>
  </si>
  <si>
    <t>EVH 30-70x100-100</t>
  </si>
  <si>
    <t>https://cdn.shopify.com/s/files/1/0575/0797/1253/files/Lochblech_EVH_30-70_x_100_100.jpg?v=1697301948</t>
  </si>
  <si>
    <t>https://cdn.shopify.com/s/files/1/0575/0797/1253/files/EVH_30x70-100x100.pdf?v=1697302155</t>
  </si>
  <si>
    <t>16,50 %</t>
  </si>
  <si>
    <t>4,51 Kg</t>
  </si>
  <si>
    <t>C/4/6, D 4/6</t>
  </si>
  <si>
    <t>10,02 Kg</t>
  </si>
  <si>
    <t>Hexagonal 2-2,5</t>
  </si>
  <si>
    <t>https://cdn.shopify.com/s/files/1/0575/0797/1253/files/Lochblech_Hv_2-2_5.jpg?v=1723472261</t>
  </si>
  <si>
    <t>https://cdn.shopify.com/s/files/1/0575/0797/1253/files/Hv2_0-2_5.pdf?v=1723472938</t>
  </si>
  <si>
    <t>0,97 Kg</t>
  </si>
  <si>
    <t>2,88 Kg</t>
  </si>
  <si>
    <t>Stahl (eloverzinkt)</t>
  </si>
  <si>
    <t>Elektrolytisch verzinkt</t>
  </si>
  <si>
    <t>St 02 Z</t>
  </si>
  <si>
    <t>DC01 + ZE</t>
  </si>
  <si>
    <t>Hexagonal 4,5-5</t>
  </si>
  <si>
    <t>https://cdn.shopify.com/s/files/1/0575/0797/1253/files/Lochblech_Hv_4-4_5.jpg?v=1723472258</t>
  </si>
  <si>
    <t>https://cdn.shopify.com/s/files/1/0575/0797/1253/files/Hv4_5-5_0.pdf?v=1723472938</t>
  </si>
  <si>
    <t>81,00 %</t>
  </si>
  <si>
    <t>0,515 Kg</t>
  </si>
  <si>
    <t>1,52 Kg</t>
  </si>
  <si>
    <t>Hexagonal 6-6,7</t>
  </si>
  <si>
    <t>https://cdn.shopify.com/s/files/1/0575/0797/1253/files/Lochblech_Hv_6-6_7.jpg?v=1675689730</t>
  </si>
  <si>
    <t>https://cdn.shopify.com/s/files/1/0575/0797/1253/files/Hv6-6_7.pdf?v=1681235781</t>
  </si>
  <si>
    <t>80,00 %</t>
  </si>
  <si>
    <t>0,54 Kg</t>
  </si>
  <si>
    <t>1,6 Kg</t>
  </si>
  <si>
    <t>2,4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</si>
</sst>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1" xfId="0" applyAlignment="1" applyBorder="1" applyFont="1" applyNumberFormat="1">
      <alignment horizontal="center" shrinkToFit="0" wrapText="0"/>
    </xf>
    <xf borderId="1" fillId="3" fontId="2" numFmtId="2" xfId="0" applyAlignment="1" applyBorder="1" applyFill="1" applyFont="1" applyNumberFormat="1">
      <alignment horizontal="center" vertical="bottom"/>
    </xf>
    <xf borderId="1" fillId="4" fontId="2" numFmtId="2" xfId="0" applyAlignment="1" applyBorder="1" applyFill="1" applyFont="1" applyNumberFormat="1">
      <alignment horizontal="center" vertical="bottom"/>
    </xf>
    <xf borderId="0" fillId="0" fontId="3" numFmtId="0" xfId="0" applyAlignment="1" applyFont="1">
      <alignment shrinkToFit="0" wrapText="0"/>
    </xf>
    <xf borderId="2" fillId="0" fontId="1" numFmtId="0" xfId="0" applyAlignment="1" applyBorder="1" applyFont="1">
      <alignment shrinkToFit="0" wrapText="0"/>
    </xf>
    <xf borderId="2" fillId="0" fontId="1" numFmtId="1" xfId="0" applyAlignment="1" applyBorder="1" applyFont="1" applyNumberForma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2" fillId="0" fontId="4" numFmtId="2" xfId="0" applyAlignment="1" applyBorder="1" applyFont="1" applyNumberFormat="1">
      <alignment horizontal="right" shrinkToFit="0" vertical="bottom" wrapText="1"/>
    </xf>
    <xf borderId="0" fillId="0" fontId="3" numFmtId="1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2.43"/>
    <col customWidth="1" min="3" max="3" width="17.43"/>
    <col customWidth="1" min="4" max="4" width="10.71"/>
    <col customWidth="1" min="5" max="5" width="66.43"/>
    <col customWidth="1" min="6" max="6" width="59.0"/>
    <col customWidth="1" min="7" max="7" width="10.71"/>
    <col customWidth="1" min="8" max="8" width="40.43"/>
    <col customWidth="1" min="9" max="9" width="76.86"/>
    <col customWidth="1" min="10" max="10" width="10.71"/>
    <col customWidth="1" min="11" max="11" width="62.14"/>
    <col customWidth="1" min="12" max="12" width="93.43"/>
    <col customWidth="1" min="13" max="13" width="21.86"/>
    <col customWidth="1" min="14" max="19" width="10.71"/>
    <col customWidth="1" min="20" max="20" width="119.14"/>
    <col customWidth="1" min="2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5"/>
      <c r="V1" s="5"/>
      <c r="W1" s="5"/>
      <c r="X1" s="5"/>
      <c r="Y1" s="5"/>
      <c r="Z1" s="5"/>
    </row>
    <row r="2" ht="18.75" customHeight="1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7">
        <v>127.6</v>
      </c>
      <c r="H2" s="6" t="s">
        <v>30</v>
      </c>
      <c r="I2" s="6" t="s">
        <v>31</v>
      </c>
      <c r="J2" s="8">
        <v>15774.0</v>
      </c>
      <c r="K2" s="6" t="s">
        <v>36</v>
      </c>
      <c r="L2" s="6" t="s">
        <v>38</v>
      </c>
      <c r="M2" s="6" t="s">
        <v>39</v>
      </c>
      <c r="N2" s="6" t="s">
        <v>41</v>
      </c>
      <c r="O2" s="6" t="s">
        <v>43</v>
      </c>
      <c r="P2" s="8" t="s">
        <v>45</v>
      </c>
      <c r="Q2" s="6" t="s">
        <v>46</v>
      </c>
      <c r="R2" s="6" t="s">
        <v>48</v>
      </c>
      <c r="S2" s="6" t="s">
        <v>48</v>
      </c>
      <c r="T2" s="6" t="s">
        <v>51</v>
      </c>
      <c r="U2" s="5"/>
      <c r="V2" s="5"/>
      <c r="W2" s="5"/>
      <c r="X2" s="5"/>
      <c r="Y2" s="5"/>
      <c r="Z2" s="5"/>
    </row>
    <row r="3">
      <c r="A3" s="6" t="s">
        <v>24</v>
      </c>
      <c r="B3" s="6" t="s">
        <v>32</v>
      </c>
      <c r="C3" s="6" t="s">
        <v>26</v>
      </c>
      <c r="D3" s="6" t="s">
        <v>27</v>
      </c>
      <c r="E3" s="6" t="s">
        <v>33</v>
      </c>
      <c r="F3" s="6" t="s">
        <v>34</v>
      </c>
      <c r="G3" s="7">
        <v>127.6</v>
      </c>
      <c r="H3" s="6" t="s">
        <v>35</v>
      </c>
      <c r="I3" s="6" t="s">
        <v>37</v>
      </c>
      <c r="J3" s="8">
        <v>363.0</v>
      </c>
      <c r="K3" s="6" t="s">
        <v>40</v>
      </c>
      <c r="L3" s="6" t="s">
        <v>42</v>
      </c>
      <c r="M3" s="6" t="s">
        <v>44</v>
      </c>
      <c r="N3" s="6" t="s">
        <v>41</v>
      </c>
      <c r="O3" s="6" t="s">
        <v>47</v>
      </c>
      <c r="P3" s="8" t="s">
        <v>49</v>
      </c>
      <c r="Q3" s="6" t="s">
        <v>50</v>
      </c>
      <c r="R3" s="6" t="s">
        <v>48</v>
      </c>
      <c r="S3" s="6" t="s">
        <v>48</v>
      </c>
      <c r="T3" s="6" t="s">
        <v>52</v>
      </c>
      <c r="U3" s="5"/>
      <c r="V3" s="5"/>
      <c r="W3" s="5"/>
      <c r="X3" s="5"/>
      <c r="Y3" s="5"/>
      <c r="Z3" s="5"/>
    </row>
    <row r="4">
      <c r="A4" s="6" t="s">
        <v>24</v>
      </c>
      <c r="B4" s="6" t="s">
        <v>32</v>
      </c>
      <c r="C4" s="6" t="s">
        <v>53</v>
      </c>
      <c r="D4" s="6" t="s">
        <v>54</v>
      </c>
      <c r="E4" s="6" t="s">
        <v>33</v>
      </c>
      <c r="F4" s="6" t="s">
        <v>34</v>
      </c>
      <c r="G4" s="7">
        <v>191.39999999999998</v>
      </c>
      <c r="H4" s="6" t="s">
        <v>55</v>
      </c>
      <c r="I4" s="6" t="s">
        <v>48</v>
      </c>
      <c r="J4" s="8">
        <v>366.0</v>
      </c>
      <c r="K4" s="6" t="s">
        <v>53</v>
      </c>
      <c r="L4" s="6" t="s">
        <v>56</v>
      </c>
      <c r="M4" s="6" t="s">
        <v>57</v>
      </c>
      <c r="N4" s="6" t="s">
        <v>58</v>
      </c>
      <c r="O4" s="6" t="s">
        <v>47</v>
      </c>
      <c r="P4" s="8" t="s">
        <v>59</v>
      </c>
      <c r="Q4" s="6" t="s">
        <v>50</v>
      </c>
      <c r="R4" s="6" t="s">
        <v>48</v>
      </c>
      <c r="S4" s="6" t="s">
        <v>48</v>
      </c>
      <c r="T4" s="6" t="s">
        <v>52</v>
      </c>
      <c r="U4" s="5"/>
      <c r="V4" s="5"/>
      <c r="W4" s="5"/>
      <c r="X4" s="5"/>
      <c r="Y4" s="5"/>
      <c r="Z4" s="5"/>
    </row>
    <row r="5">
      <c r="A5" s="6" t="s">
        <v>24</v>
      </c>
      <c r="B5" s="6" t="s">
        <v>32</v>
      </c>
      <c r="C5" s="6" t="s">
        <v>53</v>
      </c>
      <c r="D5" s="6" t="s">
        <v>27</v>
      </c>
      <c r="E5" s="6" t="s">
        <v>33</v>
      </c>
      <c r="F5" s="6" t="s">
        <v>34</v>
      </c>
      <c r="G5" s="7">
        <v>229.67999999999998</v>
      </c>
      <c r="H5" s="6" t="s">
        <v>60</v>
      </c>
      <c r="I5" s="6" t="s">
        <v>48</v>
      </c>
      <c r="J5" s="8">
        <v>367.0</v>
      </c>
      <c r="K5" s="6" t="s">
        <v>53</v>
      </c>
      <c r="L5" s="6" t="s">
        <v>56</v>
      </c>
      <c r="M5" s="6" t="s">
        <v>57</v>
      </c>
      <c r="N5" s="6" t="s">
        <v>58</v>
      </c>
      <c r="O5" s="6" t="s">
        <v>47</v>
      </c>
      <c r="P5" s="8" t="s">
        <v>61</v>
      </c>
      <c r="Q5" s="6" t="s">
        <v>50</v>
      </c>
      <c r="R5" s="6" t="s">
        <v>48</v>
      </c>
      <c r="S5" s="6" t="s">
        <v>48</v>
      </c>
      <c r="T5" s="6" t="s">
        <v>52</v>
      </c>
      <c r="U5" s="5"/>
      <c r="V5" s="5"/>
      <c r="W5" s="5"/>
      <c r="X5" s="5"/>
      <c r="Y5" s="5"/>
      <c r="Z5" s="5"/>
    </row>
    <row r="6">
      <c r="A6" s="6" t="s">
        <v>24</v>
      </c>
      <c r="B6" s="6" t="s">
        <v>32</v>
      </c>
      <c r="C6" s="6" t="s">
        <v>62</v>
      </c>
      <c r="D6" s="6" t="s">
        <v>63</v>
      </c>
      <c r="E6" s="6" t="s">
        <v>33</v>
      </c>
      <c r="F6" s="6" t="s">
        <v>34</v>
      </c>
      <c r="G6" s="7">
        <v>70.75999999999999</v>
      </c>
      <c r="H6" s="6" t="s">
        <v>64</v>
      </c>
      <c r="I6" s="6" t="s">
        <v>48</v>
      </c>
      <c r="J6" s="8">
        <v>356.0</v>
      </c>
      <c r="K6" s="6" t="s">
        <v>62</v>
      </c>
      <c r="L6" s="6" t="s">
        <v>65</v>
      </c>
      <c r="M6" s="6" t="s">
        <v>66</v>
      </c>
      <c r="N6" s="6" t="s">
        <v>58</v>
      </c>
      <c r="O6" s="6" t="s">
        <v>47</v>
      </c>
      <c r="P6" s="8" t="s">
        <v>67</v>
      </c>
      <c r="Q6" s="6" t="s">
        <v>50</v>
      </c>
      <c r="R6" s="6" t="s">
        <v>48</v>
      </c>
      <c r="S6" s="6" t="s">
        <v>48</v>
      </c>
      <c r="T6" s="6" t="s">
        <v>52</v>
      </c>
      <c r="U6" s="5"/>
      <c r="V6" s="5"/>
      <c r="W6" s="5"/>
      <c r="X6" s="5"/>
      <c r="Y6" s="5"/>
      <c r="Z6" s="5"/>
    </row>
    <row r="7">
      <c r="A7" s="6" t="s">
        <v>24</v>
      </c>
      <c r="B7" s="6" t="s">
        <v>32</v>
      </c>
      <c r="C7" s="6" t="s">
        <v>62</v>
      </c>
      <c r="D7" s="6" t="s">
        <v>54</v>
      </c>
      <c r="E7" s="6" t="s">
        <v>33</v>
      </c>
      <c r="F7" s="6" t="s">
        <v>34</v>
      </c>
      <c r="G7" s="7">
        <v>96.27999999999999</v>
      </c>
      <c r="H7" s="6" t="s">
        <v>68</v>
      </c>
      <c r="I7" s="6" t="s">
        <v>48</v>
      </c>
      <c r="J7" s="8">
        <v>357.0</v>
      </c>
      <c r="K7" s="6" t="s">
        <v>62</v>
      </c>
      <c r="L7" s="6" t="s">
        <v>69</v>
      </c>
      <c r="M7" s="6" t="s">
        <v>70</v>
      </c>
      <c r="N7" s="6" t="s">
        <v>58</v>
      </c>
      <c r="O7" s="6" t="s">
        <v>47</v>
      </c>
      <c r="P7" s="8" t="s">
        <v>59</v>
      </c>
      <c r="Q7" s="6" t="s">
        <v>50</v>
      </c>
      <c r="R7" s="6" t="s">
        <v>48</v>
      </c>
      <c r="S7" s="6" t="s">
        <v>48</v>
      </c>
      <c r="T7" s="6" t="s">
        <v>52</v>
      </c>
      <c r="U7" s="5"/>
      <c r="V7" s="5"/>
      <c r="W7" s="5"/>
      <c r="X7" s="5"/>
      <c r="Y7" s="5"/>
      <c r="Z7" s="5"/>
    </row>
    <row r="8">
      <c r="A8" s="6" t="s">
        <v>24</v>
      </c>
      <c r="B8" s="6" t="s">
        <v>32</v>
      </c>
      <c r="C8" s="6" t="s">
        <v>62</v>
      </c>
      <c r="D8" s="6" t="s">
        <v>27</v>
      </c>
      <c r="E8" s="6" t="s">
        <v>33</v>
      </c>
      <c r="F8" s="6" t="s">
        <v>34</v>
      </c>
      <c r="G8" s="7">
        <v>109.03999999999999</v>
      </c>
      <c r="H8" s="6" t="s">
        <v>71</v>
      </c>
      <c r="I8" s="6" t="s">
        <v>48</v>
      </c>
      <c r="J8" s="8">
        <v>358.0</v>
      </c>
      <c r="K8" s="6" t="s">
        <v>62</v>
      </c>
      <c r="L8" s="6" t="s">
        <v>69</v>
      </c>
      <c r="M8" s="6" t="s">
        <v>70</v>
      </c>
      <c r="N8" s="6" t="s">
        <v>58</v>
      </c>
      <c r="O8" s="6" t="s">
        <v>47</v>
      </c>
      <c r="P8" s="8" t="s">
        <v>61</v>
      </c>
      <c r="Q8" s="6" t="s">
        <v>50</v>
      </c>
      <c r="R8" s="6" t="s">
        <v>48</v>
      </c>
      <c r="S8" s="6" t="s">
        <v>48</v>
      </c>
      <c r="T8" s="6" t="s">
        <v>52</v>
      </c>
      <c r="U8" s="5"/>
      <c r="V8" s="5"/>
      <c r="W8" s="5"/>
      <c r="X8" s="5"/>
      <c r="Y8" s="5"/>
      <c r="Z8" s="5"/>
    </row>
    <row r="9">
      <c r="A9" s="6" t="s">
        <v>24</v>
      </c>
      <c r="B9" s="6" t="s">
        <v>32</v>
      </c>
      <c r="C9" s="6" t="s">
        <v>72</v>
      </c>
      <c r="D9" s="6" t="s">
        <v>63</v>
      </c>
      <c r="E9" s="6" t="s">
        <v>33</v>
      </c>
      <c r="F9" s="6" t="s">
        <v>34</v>
      </c>
      <c r="G9" s="7">
        <v>83.52</v>
      </c>
      <c r="H9" s="6" t="s">
        <v>73</v>
      </c>
      <c r="I9" s="6" t="s">
        <v>48</v>
      </c>
      <c r="J9" s="8">
        <v>359.0</v>
      </c>
      <c r="K9" s="6" t="s">
        <v>74</v>
      </c>
      <c r="L9" s="6" t="s">
        <v>75</v>
      </c>
      <c r="M9" s="6" t="s">
        <v>76</v>
      </c>
      <c r="N9" s="6" t="s">
        <v>58</v>
      </c>
      <c r="O9" s="6" t="s">
        <v>47</v>
      </c>
      <c r="P9" s="8" t="s">
        <v>67</v>
      </c>
      <c r="Q9" s="6" t="s">
        <v>50</v>
      </c>
      <c r="R9" s="6" t="s">
        <v>48</v>
      </c>
      <c r="S9" s="6" t="s">
        <v>48</v>
      </c>
      <c r="T9" s="6" t="s">
        <v>77</v>
      </c>
      <c r="U9" s="5"/>
      <c r="V9" s="5"/>
      <c r="W9" s="5"/>
      <c r="X9" s="5"/>
      <c r="Y9" s="5"/>
      <c r="Z9" s="5"/>
    </row>
    <row r="10">
      <c r="A10" s="6" t="s">
        <v>24</v>
      </c>
      <c r="B10" s="6" t="s">
        <v>32</v>
      </c>
      <c r="C10" s="6" t="s">
        <v>72</v>
      </c>
      <c r="D10" s="6" t="s">
        <v>54</v>
      </c>
      <c r="E10" s="6" t="s">
        <v>33</v>
      </c>
      <c r="F10" s="6" t="s">
        <v>34</v>
      </c>
      <c r="G10" s="7">
        <v>109.03999999999999</v>
      </c>
      <c r="H10" s="6" t="s">
        <v>78</v>
      </c>
      <c r="I10" s="6" t="s">
        <v>48</v>
      </c>
      <c r="J10" s="8">
        <v>360.0</v>
      </c>
      <c r="K10" s="6" t="s">
        <v>74</v>
      </c>
      <c r="L10" s="6" t="s">
        <v>75</v>
      </c>
      <c r="M10" s="6" t="s">
        <v>76</v>
      </c>
      <c r="N10" s="6" t="s">
        <v>58</v>
      </c>
      <c r="O10" s="6" t="s">
        <v>47</v>
      </c>
      <c r="P10" s="8" t="s">
        <v>59</v>
      </c>
      <c r="Q10" s="6" t="s">
        <v>50</v>
      </c>
      <c r="R10" s="6" t="s">
        <v>48</v>
      </c>
      <c r="S10" s="6" t="s">
        <v>48</v>
      </c>
      <c r="T10" s="6" t="s">
        <v>77</v>
      </c>
      <c r="U10" s="5"/>
      <c r="V10" s="5"/>
      <c r="W10" s="5"/>
      <c r="X10" s="5"/>
      <c r="Y10" s="5"/>
      <c r="Z10" s="5"/>
    </row>
    <row r="11">
      <c r="A11" s="6" t="s">
        <v>24</v>
      </c>
      <c r="B11" s="6" t="s">
        <v>79</v>
      </c>
      <c r="C11" s="6" t="s">
        <v>26</v>
      </c>
      <c r="D11" s="6" t="s">
        <v>27</v>
      </c>
      <c r="E11" s="6" t="s">
        <v>80</v>
      </c>
      <c r="F11" s="6" t="s">
        <v>81</v>
      </c>
      <c r="G11" s="7">
        <v>149.64</v>
      </c>
      <c r="H11" s="6" t="s">
        <v>64</v>
      </c>
      <c r="I11" s="6" t="s">
        <v>31</v>
      </c>
      <c r="J11" s="8">
        <v>797.0</v>
      </c>
      <c r="K11" s="6" t="s">
        <v>36</v>
      </c>
      <c r="L11" s="6" t="s">
        <v>38</v>
      </c>
      <c r="M11" s="6" t="s">
        <v>39</v>
      </c>
      <c r="N11" s="6" t="s">
        <v>41</v>
      </c>
      <c r="O11" s="6" t="s">
        <v>82</v>
      </c>
      <c r="P11" s="8" t="s">
        <v>67</v>
      </c>
      <c r="Q11" s="6" t="s">
        <v>50</v>
      </c>
      <c r="R11" s="6" t="s">
        <v>48</v>
      </c>
      <c r="S11" s="6" t="s">
        <v>48</v>
      </c>
      <c r="T11" s="6" t="s">
        <v>51</v>
      </c>
      <c r="U11" s="5"/>
      <c r="V11" s="5"/>
      <c r="W11" s="5"/>
      <c r="X11" s="5"/>
      <c r="Y11" s="5"/>
      <c r="Z11" s="5"/>
    </row>
    <row r="12">
      <c r="A12" s="6" t="s">
        <v>24</v>
      </c>
      <c r="B12" s="6" t="s">
        <v>79</v>
      </c>
      <c r="C12" s="6" t="s">
        <v>53</v>
      </c>
      <c r="D12" s="6" t="s">
        <v>54</v>
      </c>
      <c r="E12" s="6" t="s">
        <v>80</v>
      </c>
      <c r="F12" s="6" t="s">
        <v>81</v>
      </c>
      <c r="G12" s="7">
        <v>288.84</v>
      </c>
      <c r="H12" s="6" t="s">
        <v>83</v>
      </c>
      <c r="I12" s="6" t="s">
        <v>84</v>
      </c>
      <c r="J12" s="8">
        <v>537.0</v>
      </c>
      <c r="K12" s="6" t="s">
        <v>85</v>
      </c>
      <c r="L12" s="6" t="s">
        <v>86</v>
      </c>
      <c r="M12" s="6" t="s">
        <v>57</v>
      </c>
      <c r="N12" s="6" t="s">
        <v>58</v>
      </c>
      <c r="O12" s="6" t="s">
        <v>82</v>
      </c>
      <c r="P12" s="8" t="s">
        <v>87</v>
      </c>
      <c r="Q12" s="6" t="s">
        <v>50</v>
      </c>
      <c r="R12" s="6" t="s">
        <v>48</v>
      </c>
      <c r="S12" s="6" t="s">
        <v>48</v>
      </c>
      <c r="T12" s="6" t="s">
        <v>88</v>
      </c>
      <c r="U12" s="5"/>
      <c r="V12" s="5"/>
      <c r="W12" s="5"/>
      <c r="X12" s="5"/>
      <c r="Y12" s="5"/>
      <c r="Z12" s="5"/>
    </row>
    <row r="13">
      <c r="A13" s="6" t="s">
        <v>24</v>
      </c>
      <c r="B13" s="6" t="s">
        <v>79</v>
      </c>
      <c r="C13" s="6" t="s">
        <v>53</v>
      </c>
      <c r="D13" s="6" t="s">
        <v>27</v>
      </c>
      <c r="E13" s="6" t="s">
        <v>80</v>
      </c>
      <c r="F13" s="6" t="s">
        <v>81</v>
      </c>
      <c r="G13" s="7">
        <v>335.23999999999995</v>
      </c>
      <c r="H13" s="6" t="s">
        <v>83</v>
      </c>
      <c r="I13" s="6" t="s">
        <v>84</v>
      </c>
      <c r="J13" s="8">
        <v>5141.0</v>
      </c>
      <c r="K13" s="6" t="s">
        <v>85</v>
      </c>
      <c r="L13" s="6" t="s">
        <v>86</v>
      </c>
      <c r="M13" s="6" t="s">
        <v>57</v>
      </c>
      <c r="N13" s="6" t="s">
        <v>58</v>
      </c>
      <c r="O13" s="6" t="s">
        <v>82</v>
      </c>
      <c r="P13" s="8" t="s">
        <v>89</v>
      </c>
      <c r="Q13" s="6" t="s">
        <v>50</v>
      </c>
      <c r="R13" s="6" t="s">
        <v>48</v>
      </c>
      <c r="S13" s="6" t="s">
        <v>48</v>
      </c>
      <c r="T13" s="6" t="s">
        <v>88</v>
      </c>
      <c r="U13" s="5"/>
      <c r="V13" s="5"/>
      <c r="W13" s="5"/>
      <c r="X13" s="5"/>
      <c r="Y13" s="5"/>
      <c r="Z13" s="5"/>
    </row>
    <row r="14">
      <c r="A14" s="6" t="s">
        <v>24</v>
      </c>
      <c r="B14" s="6" t="s">
        <v>79</v>
      </c>
      <c r="C14" s="6" t="s">
        <v>72</v>
      </c>
      <c r="D14" s="6" t="s">
        <v>54</v>
      </c>
      <c r="E14" s="6" t="s">
        <v>80</v>
      </c>
      <c r="F14" s="6" t="s">
        <v>81</v>
      </c>
      <c r="G14" s="7">
        <v>138.04</v>
      </c>
      <c r="H14" s="6" t="s">
        <v>83</v>
      </c>
      <c r="I14" s="6" t="s">
        <v>48</v>
      </c>
      <c r="J14" s="8">
        <v>5120.0</v>
      </c>
      <c r="K14" s="6" t="s">
        <v>74</v>
      </c>
      <c r="L14" s="6" t="s">
        <v>75</v>
      </c>
      <c r="M14" s="6" t="s">
        <v>76</v>
      </c>
      <c r="N14" s="6" t="s">
        <v>58</v>
      </c>
      <c r="O14" s="6" t="s">
        <v>82</v>
      </c>
      <c r="P14" s="8" t="s">
        <v>87</v>
      </c>
      <c r="Q14" s="6" t="s">
        <v>50</v>
      </c>
      <c r="R14" s="6" t="s">
        <v>48</v>
      </c>
      <c r="S14" s="6" t="s">
        <v>48</v>
      </c>
      <c r="T14" s="6" t="s">
        <v>77</v>
      </c>
      <c r="U14" s="5"/>
      <c r="V14" s="5"/>
      <c r="W14" s="5"/>
      <c r="X14" s="5"/>
      <c r="Y14" s="5"/>
      <c r="Z14" s="5"/>
    </row>
    <row r="15">
      <c r="A15" s="6" t="s">
        <v>24</v>
      </c>
      <c r="B15" s="6" t="s">
        <v>90</v>
      </c>
      <c r="C15" s="6" t="s">
        <v>26</v>
      </c>
      <c r="D15" s="6" t="s">
        <v>27</v>
      </c>
      <c r="E15" s="6" t="s">
        <v>91</v>
      </c>
      <c r="F15" s="6" t="s">
        <v>92</v>
      </c>
      <c r="G15" s="7">
        <v>127.6</v>
      </c>
      <c r="H15" s="6" t="s">
        <v>93</v>
      </c>
      <c r="I15" s="6" t="s">
        <v>37</v>
      </c>
      <c r="J15" s="8">
        <v>397.0</v>
      </c>
      <c r="K15" s="6" t="s">
        <v>40</v>
      </c>
      <c r="L15" s="6" t="s">
        <v>42</v>
      </c>
      <c r="M15" s="6" t="s">
        <v>44</v>
      </c>
      <c r="N15" s="6" t="s">
        <v>41</v>
      </c>
      <c r="O15" s="6" t="s">
        <v>94</v>
      </c>
      <c r="P15" s="8" t="s">
        <v>95</v>
      </c>
      <c r="Q15" s="6" t="s">
        <v>50</v>
      </c>
      <c r="R15" s="6" t="s">
        <v>48</v>
      </c>
      <c r="S15" s="6" t="s">
        <v>48</v>
      </c>
      <c r="T15" s="6" t="s">
        <v>52</v>
      </c>
      <c r="U15" s="5"/>
      <c r="V15" s="5"/>
      <c r="W15" s="5"/>
      <c r="X15" s="5"/>
      <c r="Y15" s="5"/>
      <c r="Z15" s="5"/>
    </row>
    <row r="16">
      <c r="A16" s="6" t="s">
        <v>24</v>
      </c>
      <c r="B16" s="6" t="s">
        <v>90</v>
      </c>
      <c r="C16" s="6" t="s">
        <v>53</v>
      </c>
      <c r="D16" s="6" t="s">
        <v>54</v>
      </c>
      <c r="E16" s="6" t="s">
        <v>91</v>
      </c>
      <c r="F16" s="6" t="s">
        <v>92</v>
      </c>
      <c r="G16" s="7">
        <v>191.39999999999998</v>
      </c>
      <c r="H16" s="6" t="s">
        <v>96</v>
      </c>
      <c r="I16" s="6" t="s">
        <v>48</v>
      </c>
      <c r="J16" s="8">
        <v>399.0</v>
      </c>
      <c r="K16" s="6" t="s">
        <v>53</v>
      </c>
      <c r="L16" s="6" t="s">
        <v>56</v>
      </c>
      <c r="M16" s="6" t="s">
        <v>57</v>
      </c>
      <c r="N16" s="6" t="s">
        <v>58</v>
      </c>
      <c r="O16" s="6" t="s">
        <v>94</v>
      </c>
      <c r="P16" s="8" t="s">
        <v>97</v>
      </c>
      <c r="Q16" s="6" t="s">
        <v>50</v>
      </c>
      <c r="R16" s="6" t="s">
        <v>48</v>
      </c>
      <c r="S16" s="6" t="s">
        <v>48</v>
      </c>
      <c r="T16" s="6" t="s">
        <v>52</v>
      </c>
      <c r="U16" s="5"/>
      <c r="V16" s="5"/>
      <c r="W16" s="5"/>
      <c r="X16" s="5"/>
      <c r="Y16" s="5"/>
      <c r="Z16" s="5"/>
    </row>
    <row r="17">
      <c r="A17" s="6" t="s">
        <v>24</v>
      </c>
      <c r="B17" s="6" t="s">
        <v>90</v>
      </c>
      <c r="C17" s="6" t="s">
        <v>53</v>
      </c>
      <c r="D17" s="6" t="s">
        <v>27</v>
      </c>
      <c r="E17" s="6" t="s">
        <v>91</v>
      </c>
      <c r="F17" s="6" t="s">
        <v>92</v>
      </c>
      <c r="G17" s="7">
        <v>229.67999999999998</v>
      </c>
      <c r="H17" s="6" t="s">
        <v>98</v>
      </c>
      <c r="I17" s="6" t="s">
        <v>48</v>
      </c>
      <c r="J17" s="8">
        <v>617.0</v>
      </c>
      <c r="K17" s="6" t="s">
        <v>53</v>
      </c>
      <c r="L17" s="6" t="s">
        <v>56</v>
      </c>
      <c r="M17" s="6" t="s">
        <v>57</v>
      </c>
      <c r="N17" s="6" t="s">
        <v>58</v>
      </c>
      <c r="O17" s="6" t="s">
        <v>94</v>
      </c>
      <c r="P17" s="8" t="s">
        <v>99</v>
      </c>
      <c r="Q17" s="6" t="s">
        <v>50</v>
      </c>
      <c r="R17" s="6" t="s">
        <v>48</v>
      </c>
      <c r="S17" s="6" t="s">
        <v>48</v>
      </c>
      <c r="T17" s="6" t="s">
        <v>52</v>
      </c>
      <c r="U17" s="5"/>
      <c r="V17" s="5"/>
      <c r="W17" s="5"/>
      <c r="X17" s="5"/>
      <c r="Y17" s="5"/>
      <c r="Z17" s="5"/>
    </row>
    <row r="18">
      <c r="A18" s="6" t="s">
        <v>24</v>
      </c>
      <c r="B18" s="6" t="s">
        <v>90</v>
      </c>
      <c r="C18" s="6" t="s">
        <v>62</v>
      </c>
      <c r="D18" s="6" t="s">
        <v>54</v>
      </c>
      <c r="E18" s="6" t="s">
        <v>91</v>
      </c>
      <c r="F18" s="6" t="s">
        <v>92</v>
      </c>
      <c r="G18" s="7">
        <v>96.27999999999999</v>
      </c>
      <c r="H18" s="6" t="s">
        <v>100</v>
      </c>
      <c r="I18" s="6" t="s">
        <v>48</v>
      </c>
      <c r="J18" s="8">
        <v>391.0</v>
      </c>
      <c r="K18" s="6" t="s">
        <v>62</v>
      </c>
      <c r="L18" s="6" t="s">
        <v>69</v>
      </c>
      <c r="M18" s="6" t="s">
        <v>70</v>
      </c>
      <c r="N18" s="6" t="s">
        <v>58</v>
      </c>
      <c r="O18" s="6" t="s">
        <v>94</v>
      </c>
      <c r="P18" s="8" t="s">
        <v>97</v>
      </c>
      <c r="Q18" s="6" t="s">
        <v>50</v>
      </c>
      <c r="R18" s="6" t="s">
        <v>48</v>
      </c>
      <c r="S18" s="6" t="s">
        <v>48</v>
      </c>
      <c r="T18" s="6" t="s">
        <v>52</v>
      </c>
      <c r="U18" s="5"/>
      <c r="V18" s="5"/>
      <c r="W18" s="5"/>
      <c r="X18" s="5"/>
      <c r="Y18" s="5"/>
      <c r="Z18" s="5"/>
    </row>
    <row r="19">
      <c r="A19" s="6" t="s">
        <v>24</v>
      </c>
      <c r="B19" s="6" t="s">
        <v>90</v>
      </c>
      <c r="C19" s="6" t="s">
        <v>62</v>
      </c>
      <c r="D19" s="6" t="s">
        <v>27</v>
      </c>
      <c r="E19" s="6" t="s">
        <v>91</v>
      </c>
      <c r="F19" s="6" t="s">
        <v>92</v>
      </c>
      <c r="G19" s="7">
        <v>109.03999999999999</v>
      </c>
      <c r="H19" s="6" t="s">
        <v>101</v>
      </c>
      <c r="I19" s="6" t="s">
        <v>48</v>
      </c>
      <c r="J19" s="8">
        <v>392.0</v>
      </c>
      <c r="K19" s="6" t="s">
        <v>62</v>
      </c>
      <c r="L19" s="6" t="s">
        <v>69</v>
      </c>
      <c r="M19" s="6" t="s">
        <v>70</v>
      </c>
      <c r="N19" s="6" t="s">
        <v>58</v>
      </c>
      <c r="O19" s="6" t="s">
        <v>94</v>
      </c>
      <c r="P19" s="8" t="s">
        <v>99</v>
      </c>
      <c r="Q19" s="6" t="s">
        <v>50</v>
      </c>
      <c r="R19" s="6" t="s">
        <v>48</v>
      </c>
      <c r="S19" s="6" t="s">
        <v>48</v>
      </c>
      <c r="T19" s="6" t="s">
        <v>52</v>
      </c>
      <c r="U19" s="5"/>
      <c r="V19" s="5"/>
      <c r="W19" s="5"/>
      <c r="X19" s="5"/>
      <c r="Y19" s="5"/>
      <c r="Z19" s="5"/>
    </row>
    <row r="20">
      <c r="A20" s="6" t="s">
        <v>24</v>
      </c>
      <c r="B20" s="6" t="s">
        <v>90</v>
      </c>
      <c r="C20" s="6" t="s">
        <v>72</v>
      </c>
      <c r="D20" s="6" t="s">
        <v>54</v>
      </c>
      <c r="E20" s="6" t="s">
        <v>91</v>
      </c>
      <c r="F20" s="6" t="s">
        <v>92</v>
      </c>
      <c r="G20" s="7">
        <v>109.03999999999999</v>
      </c>
      <c r="H20" s="6" t="s">
        <v>102</v>
      </c>
      <c r="I20" s="6" t="s">
        <v>48</v>
      </c>
      <c r="J20" s="8">
        <v>394.0</v>
      </c>
      <c r="K20" s="6" t="s">
        <v>74</v>
      </c>
      <c r="L20" s="6" t="s">
        <v>75</v>
      </c>
      <c r="M20" s="6" t="s">
        <v>76</v>
      </c>
      <c r="N20" s="6" t="s">
        <v>58</v>
      </c>
      <c r="O20" s="6" t="s">
        <v>94</v>
      </c>
      <c r="P20" s="8" t="s">
        <v>97</v>
      </c>
      <c r="Q20" s="6" t="s">
        <v>50</v>
      </c>
      <c r="R20" s="6" t="s">
        <v>48</v>
      </c>
      <c r="S20" s="6" t="s">
        <v>48</v>
      </c>
      <c r="T20" s="6" t="s">
        <v>77</v>
      </c>
      <c r="U20" s="5"/>
      <c r="V20" s="5"/>
      <c r="W20" s="5"/>
      <c r="X20" s="5"/>
      <c r="Y20" s="5"/>
      <c r="Z20" s="5"/>
    </row>
    <row r="21" ht="15.75" customHeight="1">
      <c r="A21" s="6" t="s">
        <v>24</v>
      </c>
      <c r="B21" s="6" t="s">
        <v>90</v>
      </c>
      <c r="C21" s="6" t="s">
        <v>72</v>
      </c>
      <c r="D21" s="6" t="s">
        <v>27</v>
      </c>
      <c r="E21" s="6" t="s">
        <v>91</v>
      </c>
      <c r="F21" s="6" t="s">
        <v>92</v>
      </c>
      <c r="G21" s="7">
        <v>121.8</v>
      </c>
      <c r="H21" s="6" t="s">
        <v>103</v>
      </c>
      <c r="I21" s="6" t="s">
        <v>48</v>
      </c>
      <c r="J21" s="8">
        <v>395.0</v>
      </c>
      <c r="K21" s="6" t="s">
        <v>74</v>
      </c>
      <c r="L21" s="6" t="s">
        <v>75</v>
      </c>
      <c r="M21" s="6" t="s">
        <v>76</v>
      </c>
      <c r="N21" s="6" t="s">
        <v>58</v>
      </c>
      <c r="O21" s="6" t="s">
        <v>94</v>
      </c>
      <c r="P21" s="8" t="s">
        <v>99</v>
      </c>
      <c r="Q21" s="6" t="s">
        <v>50</v>
      </c>
      <c r="R21" s="6" t="s">
        <v>48</v>
      </c>
      <c r="S21" s="6" t="s">
        <v>48</v>
      </c>
      <c r="T21" s="6" t="s">
        <v>77</v>
      </c>
      <c r="U21" s="5"/>
      <c r="V21" s="5"/>
      <c r="W21" s="5"/>
      <c r="X21" s="5"/>
      <c r="Y21" s="5"/>
      <c r="Z21" s="5"/>
    </row>
    <row r="22" ht="15.75" customHeight="1">
      <c r="A22" s="6" t="s">
        <v>24</v>
      </c>
      <c r="B22" s="6" t="s">
        <v>104</v>
      </c>
      <c r="C22" s="6" t="s">
        <v>26</v>
      </c>
      <c r="D22" s="6" t="s">
        <v>27</v>
      </c>
      <c r="E22" s="6" t="s">
        <v>105</v>
      </c>
      <c r="F22" s="6" t="s">
        <v>106</v>
      </c>
      <c r="G22" s="7">
        <v>139.2</v>
      </c>
      <c r="H22" s="6" t="s">
        <v>83</v>
      </c>
      <c r="I22" s="6" t="s">
        <v>37</v>
      </c>
      <c r="J22" s="8">
        <v>876.0</v>
      </c>
      <c r="K22" s="6" t="s">
        <v>40</v>
      </c>
      <c r="L22" s="6" t="s">
        <v>42</v>
      </c>
      <c r="M22" s="6" t="s">
        <v>44</v>
      </c>
      <c r="N22" s="6" t="s">
        <v>41</v>
      </c>
      <c r="O22" s="6" t="s">
        <v>107</v>
      </c>
      <c r="P22" s="8" t="s">
        <v>108</v>
      </c>
      <c r="Q22" s="6" t="s">
        <v>50</v>
      </c>
      <c r="R22" s="6" t="s">
        <v>48</v>
      </c>
      <c r="S22" s="6" t="s">
        <v>48</v>
      </c>
      <c r="T22" s="6" t="s">
        <v>52</v>
      </c>
      <c r="U22" s="5"/>
      <c r="V22" s="5"/>
      <c r="W22" s="5"/>
      <c r="X22" s="5"/>
      <c r="Y22" s="5"/>
      <c r="Z22" s="5"/>
    </row>
    <row r="23" ht="15.75" customHeight="1">
      <c r="A23" s="6" t="s">
        <v>24</v>
      </c>
      <c r="B23" s="6" t="s">
        <v>104</v>
      </c>
      <c r="C23" s="6" t="s">
        <v>53</v>
      </c>
      <c r="D23" s="6" t="s">
        <v>63</v>
      </c>
      <c r="E23" s="6" t="s">
        <v>105</v>
      </c>
      <c r="F23" s="6" t="s">
        <v>106</v>
      </c>
      <c r="G23" s="7">
        <v>153.11999999999998</v>
      </c>
      <c r="H23" s="6" t="s">
        <v>83</v>
      </c>
      <c r="I23" s="6" t="s">
        <v>48</v>
      </c>
      <c r="J23" s="8">
        <v>414.0</v>
      </c>
      <c r="K23" s="6" t="s">
        <v>53</v>
      </c>
      <c r="L23" s="6" t="s">
        <v>56</v>
      </c>
      <c r="M23" s="6" t="s">
        <v>57</v>
      </c>
      <c r="N23" s="6" t="s">
        <v>58</v>
      </c>
      <c r="O23" s="6" t="s">
        <v>107</v>
      </c>
      <c r="P23" s="8" t="s">
        <v>109</v>
      </c>
      <c r="Q23" s="6" t="s">
        <v>50</v>
      </c>
      <c r="R23" s="6" t="s">
        <v>48</v>
      </c>
      <c r="S23" s="6" t="s">
        <v>48</v>
      </c>
      <c r="T23" s="6" t="s">
        <v>52</v>
      </c>
      <c r="U23" s="5"/>
      <c r="V23" s="5"/>
      <c r="W23" s="5"/>
      <c r="X23" s="5"/>
      <c r="Y23" s="5"/>
      <c r="Z23" s="5"/>
    </row>
    <row r="24" ht="15.75" customHeight="1">
      <c r="A24" s="6" t="s">
        <v>24</v>
      </c>
      <c r="B24" s="6" t="s">
        <v>104</v>
      </c>
      <c r="C24" s="6" t="s">
        <v>53</v>
      </c>
      <c r="D24" s="6" t="s">
        <v>54</v>
      </c>
      <c r="E24" s="6" t="s">
        <v>105</v>
      </c>
      <c r="F24" s="6" t="s">
        <v>106</v>
      </c>
      <c r="G24" s="7">
        <v>191.39999999999998</v>
      </c>
      <c r="H24" s="6" t="s">
        <v>110</v>
      </c>
      <c r="I24" s="6" t="s">
        <v>48</v>
      </c>
      <c r="J24" s="8">
        <v>415.0</v>
      </c>
      <c r="K24" s="6" t="s">
        <v>53</v>
      </c>
      <c r="L24" s="6" t="s">
        <v>56</v>
      </c>
      <c r="M24" s="6" t="s">
        <v>57</v>
      </c>
      <c r="N24" s="6" t="s">
        <v>58</v>
      </c>
      <c r="O24" s="6" t="s">
        <v>107</v>
      </c>
      <c r="P24" s="8" t="s">
        <v>111</v>
      </c>
      <c r="Q24" s="6" t="s">
        <v>50</v>
      </c>
      <c r="R24" s="6" t="s">
        <v>48</v>
      </c>
      <c r="S24" s="6" t="s">
        <v>48</v>
      </c>
      <c r="T24" s="6" t="s">
        <v>52</v>
      </c>
      <c r="U24" s="5"/>
      <c r="V24" s="5"/>
      <c r="W24" s="5"/>
      <c r="X24" s="5"/>
      <c r="Y24" s="5"/>
      <c r="Z24" s="5"/>
    </row>
    <row r="25" ht="15.75" customHeight="1">
      <c r="A25" s="6" t="s">
        <v>24</v>
      </c>
      <c r="B25" s="6" t="s">
        <v>104</v>
      </c>
      <c r="C25" s="6" t="s">
        <v>53</v>
      </c>
      <c r="D25" s="6" t="s">
        <v>27</v>
      </c>
      <c r="E25" s="6" t="s">
        <v>105</v>
      </c>
      <c r="F25" s="6" t="s">
        <v>106</v>
      </c>
      <c r="G25" s="7">
        <v>231.99999999999997</v>
      </c>
      <c r="H25" s="6" t="s">
        <v>83</v>
      </c>
      <c r="I25" s="6" t="s">
        <v>48</v>
      </c>
      <c r="J25" s="8">
        <v>1967.0</v>
      </c>
      <c r="K25" s="6" t="s">
        <v>53</v>
      </c>
      <c r="L25" s="6" t="s">
        <v>56</v>
      </c>
      <c r="M25" s="6" t="s">
        <v>57</v>
      </c>
      <c r="N25" s="6" t="s">
        <v>58</v>
      </c>
      <c r="O25" s="6" t="s">
        <v>107</v>
      </c>
      <c r="P25" s="8" t="s">
        <v>112</v>
      </c>
      <c r="Q25" s="6" t="s">
        <v>50</v>
      </c>
      <c r="R25" s="6" t="s">
        <v>48</v>
      </c>
      <c r="S25" s="6" t="s">
        <v>48</v>
      </c>
      <c r="T25" s="6" t="s">
        <v>52</v>
      </c>
      <c r="U25" s="5"/>
      <c r="V25" s="5"/>
      <c r="W25" s="5"/>
      <c r="X25" s="5"/>
      <c r="Y25" s="5"/>
      <c r="Z25" s="5"/>
    </row>
    <row r="26" ht="15.75" customHeight="1">
      <c r="A26" s="6" t="s">
        <v>24</v>
      </c>
      <c r="B26" s="6" t="s">
        <v>104</v>
      </c>
      <c r="C26" s="6" t="s">
        <v>62</v>
      </c>
      <c r="D26" s="6" t="s">
        <v>63</v>
      </c>
      <c r="E26" s="6" t="s">
        <v>105</v>
      </c>
      <c r="F26" s="6" t="s">
        <v>106</v>
      </c>
      <c r="G26" s="7">
        <v>70.75999999999999</v>
      </c>
      <c r="H26" s="6" t="s">
        <v>83</v>
      </c>
      <c r="I26" s="6" t="s">
        <v>48</v>
      </c>
      <c r="J26" s="8">
        <v>409.0</v>
      </c>
      <c r="K26" s="6" t="s">
        <v>62</v>
      </c>
      <c r="L26" s="6" t="s">
        <v>65</v>
      </c>
      <c r="M26" s="6" t="s">
        <v>66</v>
      </c>
      <c r="N26" s="6" t="s">
        <v>58</v>
      </c>
      <c r="O26" s="6" t="s">
        <v>107</v>
      </c>
      <c r="P26" s="8" t="s">
        <v>109</v>
      </c>
      <c r="Q26" s="6" t="s">
        <v>50</v>
      </c>
      <c r="R26" s="6" t="s">
        <v>48</v>
      </c>
      <c r="S26" s="6" t="s">
        <v>48</v>
      </c>
      <c r="T26" s="6" t="s">
        <v>52</v>
      </c>
      <c r="U26" s="5"/>
      <c r="V26" s="5"/>
      <c r="W26" s="5"/>
      <c r="X26" s="5"/>
      <c r="Y26" s="5"/>
      <c r="Z26" s="5"/>
    </row>
    <row r="27" ht="15.75" customHeight="1">
      <c r="A27" s="6" t="s">
        <v>24</v>
      </c>
      <c r="B27" s="6" t="s">
        <v>104</v>
      </c>
      <c r="C27" s="6" t="s">
        <v>62</v>
      </c>
      <c r="D27" s="6" t="s">
        <v>54</v>
      </c>
      <c r="E27" s="6" t="s">
        <v>105</v>
      </c>
      <c r="F27" s="6" t="s">
        <v>106</v>
      </c>
      <c r="G27" s="7">
        <v>96.27999999999999</v>
      </c>
      <c r="H27" s="6" t="s">
        <v>83</v>
      </c>
      <c r="I27" s="6" t="s">
        <v>48</v>
      </c>
      <c r="J27" s="8">
        <v>410.0</v>
      </c>
      <c r="K27" s="6" t="s">
        <v>62</v>
      </c>
      <c r="L27" s="6" t="s">
        <v>69</v>
      </c>
      <c r="M27" s="6" t="s">
        <v>70</v>
      </c>
      <c r="N27" s="6" t="s">
        <v>58</v>
      </c>
      <c r="O27" s="6" t="s">
        <v>107</v>
      </c>
      <c r="P27" s="8" t="s">
        <v>111</v>
      </c>
      <c r="Q27" s="6" t="s">
        <v>50</v>
      </c>
      <c r="R27" s="6" t="s">
        <v>48</v>
      </c>
      <c r="S27" s="6" t="s">
        <v>48</v>
      </c>
      <c r="T27" s="6" t="s">
        <v>52</v>
      </c>
      <c r="U27" s="5"/>
      <c r="V27" s="5"/>
      <c r="W27" s="5"/>
      <c r="X27" s="5"/>
      <c r="Y27" s="5"/>
      <c r="Z27" s="5"/>
    </row>
    <row r="28" ht="15.75" customHeight="1">
      <c r="A28" s="6" t="s">
        <v>24</v>
      </c>
      <c r="B28" s="6" t="s">
        <v>104</v>
      </c>
      <c r="C28" s="6" t="s">
        <v>62</v>
      </c>
      <c r="D28" s="6" t="s">
        <v>27</v>
      </c>
      <c r="E28" s="6" t="s">
        <v>105</v>
      </c>
      <c r="F28" s="6" t="s">
        <v>106</v>
      </c>
      <c r="G28" s="7">
        <v>110.19999999999999</v>
      </c>
      <c r="H28" s="6" t="s">
        <v>83</v>
      </c>
      <c r="I28" s="6" t="s">
        <v>48</v>
      </c>
      <c r="J28" s="8">
        <v>411.0</v>
      </c>
      <c r="K28" s="6" t="s">
        <v>62</v>
      </c>
      <c r="L28" s="6" t="s">
        <v>69</v>
      </c>
      <c r="M28" s="6" t="s">
        <v>70</v>
      </c>
      <c r="N28" s="6" t="s">
        <v>58</v>
      </c>
      <c r="O28" s="6" t="s">
        <v>107</v>
      </c>
      <c r="P28" s="8" t="s">
        <v>112</v>
      </c>
      <c r="Q28" s="6" t="s">
        <v>50</v>
      </c>
      <c r="R28" s="6" t="s">
        <v>48</v>
      </c>
      <c r="S28" s="6" t="s">
        <v>48</v>
      </c>
      <c r="T28" s="6" t="s">
        <v>52</v>
      </c>
      <c r="U28" s="5"/>
      <c r="V28" s="5"/>
      <c r="W28" s="5"/>
      <c r="X28" s="5"/>
      <c r="Y28" s="5"/>
      <c r="Z28" s="5"/>
    </row>
    <row r="29" ht="15.75" customHeight="1">
      <c r="A29" s="6" t="s">
        <v>24</v>
      </c>
      <c r="B29" s="6" t="s">
        <v>104</v>
      </c>
      <c r="C29" s="6" t="s">
        <v>72</v>
      </c>
      <c r="D29" s="6" t="s">
        <v>63</v>
      </c>
      <c r="E29" s="6" t="s">
        <v>105</v>
      </c>
      <c r="F29" s="6" t="s">
        <v>106</v>
      </c>
      <c r="G29" s="7">
        <v>83.52</v>
      </c>
      <c r="H29" s="6" t="s">
        <v>83</v>
      </c>
      <c r="I29" s="6" t="s">
        <v>48</v>
      </c>
      <c r="J29" s="8">
        <v>412.0</v>
      </c>
      <c r="K29" s="6" t="s">
        <v>74</v>
      </c>
      <c r="L29" s="6" t="s">
        <v>75</v>
      </c>
      <c r="M29" s="6" t="s">
        <v>76</v>
      </c>
      <c r="N29" s="6" t="s">
        <v>58</v>
      </c>
      <c r="O29" s="6" t="s">
        <v>107</v>
      </c>
      <c r="P29" s="8" t="s">
        <v>109</v>
      </c>
      <c r="Q29" s="6" t="s">
        <v>50</v>
      </c>
      <c r="R29" s="6" t="s">
        <v>48</v>
      </c>
      <c r="S29" s="6" t="s">
        <v>48</v>
      </c>
      <c r="T29" s="6" t="s">
        <v>77</v>
      </c>
      <c r="U29" s="5"/>
      <c r="V29" s="5"/>
      <c r="W29" s="5"/>
      <c r="X29" s="5"/>
      <c r="Y29" s="5"/>
      <c r="Z29" s="5"/>
    </row>
    <row r="30" ht="15.75" customHeight="1">
      <c r="A30" s="6" t="s">
        <v>24</v>
      </c>
      <c r="B30" s="6" t="s">
        <v>104</v>
      </c>
      <c r="C30" s="6" t="s">
        <v>72</v>
      </c>
      <c r="D30" s="6" t="s">
        <v>54</v>
      </c>
      <c r="E30" s="6" t="s">
        <v>105</v>
      </c>
      <c r="F30" s="6" t="s">
        <v>106</v>
      </c>
      <c r="G30" s="7">
        <v>109.03999999999999</v>
      </c>
      <c r="H30" s="6" t="s">
        <v>113</v>
      </c>
      <c r="I30" s="6" t="s">
        <v>48</v>
      </c>
      <c r="J30" s="8">
        <v>574.0</v>
      </c>
      <c r="K30" s="6" t="s">
        <v>74</v>
      </c>
      <c r="L30" s="6" t="s">
        <v>75</v>
      </c>
      <c r="M30" s="6" t="s">
        <v>76</v>
      </c>
      <c r="N30" s="6" t="s">
        <v>58</v>
      </c>
      <c r="O30" s="6" t="s">
        <v>107</v>
      </c>
      <c r="P30" s="8" t="s">
        <v>111</v>
      </c>
      <c r="Q30" s="6" t="s">
        <v>50</v>
      </c>
      <c r="R30" s="6" t="s">
        <v>48</v>
      </c>
      <c r="S30" s="6" t="s">
        <v>48</v>
      </c>
      <c r="T30" s="6" t="s">
        <v>77</v>
      </c>
      <c r="U30" s="5"/>
      <c r="V30" s="5"/>
      <c r="W30" s="5"/>
      <c r="X30" s="5"/>
      <c r="Y30" s="5"/>
      <c r="Z30" s="5"/>
    </row>
    <row r="31" ht="15.75" customHeight="1">
      <c r="A31" s="6" t="s">
        <v>24</v>
      </c>
      <c r="B31" s="6" t="s">
        <v>104</v>
      </c>
      <c r="C31" s="6" t="s">
        <v>72</v>
      </c>
      <c r="D31" s="6" t="s">
        <v>27</v>
      </c>
      <c r="E31" s="6" t="s">
        <v>105</v>
      </c>
      <c r="F31" s="6" t="s">
        <v>106</v>
      </c>
      <c r="G31" s="7">
        <v>121.8</v>
      </c>
      <c r="H31" s="6" t="s">
        <v>114</v>
      </c>
      <c r="I31" s="6" t="s">
        <v>48</v>
      </c>
      <c r="J31" s="8">
        <v>816.0</v>
      </c>
      <c r="K31" s="6" t="s">
        <v>74</v>
      </c>
      <c r="L31" s="6" t="s">
        <v>75</v>
      </c>
      <c r="M31" s="6" t="s">
        <v>76</v>
      </c>
      <c r="N31" s="6" t="s">
        <v>58</v>
      </c>
      <c r="O31" s="6" t="s">
        <v>107</v>
      </c>
      <c r="P31" s="8" t="s">
        <v>112</v>
      </c>
      <c r="Q31" s="6" t="s">
        <v>50</v>
      </c>
      <c r="R31" s="6" t="s">
        <v>48</v>
      </c>
      <c r="S31" s="6" t="s">
        <v>48</v>
      </c>
      <c r="T31" s="6" t="s">
        <v>77</v>
      </c>
      <c r="U31" s="5"/>
      <c r="V31" s="5"/>
      <c r="W31" s="5"/>
      <c r="X31" s="5"/>
      <c r="Y31" s="5"/>
      <c r="Z31" s="5"/>
    </row>
    <row r="32" ht="15.75" customHeight="1">
      <c r="A32" s="6" t="s">
        <v>24</v>
      </c>
      <c r="B32" s="6" t="s">
        <v>115</v>
      </c>
      <c r="C32" s="6" t="s">
        <v>26</v>
      </c>
      <c r="D32" s="6" t="s">
        <v>63</v>
      </c>
      <c r="E32" s="6" t="s">
        <v>116</v>
      </c>
      <c r="F32" s="6" t="s">
        <v>117</v>
      </c>
      <c r="G32" s="7">
        <v>109.03999999999999</v>
      </c>
      <c r="H32" s="6" t="s">
        <v>118</v>
      </c>
      <c r="I32" s="6" t="s">
        <v>37</v>
      </c>
      <c r="J32" s="8">
        <v>444.0</v>
      </c>
      <c r="K32" s="6" t="s">
        <v>40</v>
      </c>
      <c r="L32" s="6" t="s">
        <v>42</v>
      </c>
      <c r="M32" s="6" t="s">
        <v>44</v>
      </c>
      <c r="N32" s="6" t="s">
        <v>41</v>
      </c>
      <c r="O32" s="6" t="s">
        <v>119</v>
      </c>
      <c r="P32" s="8" t="s">
        <v>120</v>
      </c>
      <c r="Q32" s="6" t="s">
        <v>50</v>
      </c>
      <c r="R32" s="6" t="s">
        <v>48</v>
      </c>
      <c r="S32" s="6" t="s">
        <v>48</v>
      </c>
      <c r="T32" s="6" t="s">
        <v>52</v>
      </c>
      <c r="U32" s="5"/>
      <c r="V32" s="5"/>
      <c r="W32" s="5"/>
      <c r="X32" s="5"/>
      <c r="Y32" s="5"/>
      <c r="Z32" s="5"/>
    </row>
    <row r="33" ht="15.75" customHeight="1">
      <c r="A33" s="6" t="s">
        <v>24</v>
      </c>
      <c r="B33" s="6" t="s">
        <v>115</v>
      </c>
      <c r="C33" s="6" t="s">
        <v>26</v>
      </c>
      <c r="D33" s="6" t="s">
        <v>27</v>
      </c>
      <c r="E33" s="6" t="s">
        <v>116</v>
      </c>
      <c r="F33" s="6" t="s">
        <v>117</v>
      </c>
      <c r="G33" s="7">
        <v>127.6</v>
      </c>
      <c r="H33" s="6" t="s">
        <v>121</v>
      </c>
      <c r="I33" s="6" t="s">
        <v>37</v>
      </c>
      <c r="J33" s="8">
        <v>446.0</v>
      </c>
      <c r="K33" s="6" t="s">
        <v>40</v>
      </c>
      <c r="L33" s="6" t="s">
        <v>42</v>
      </c>
      <c r="M33" s="6" t="s">
        <v>44</v>
      </c>
      <c r="N33" s="6" t="s">
        <v>41</v>
      </c>
      <c r="O33" s="6" t="s">
        <v>119</v>
      </c>
      <c r="P33" s="8" t="s">
        <v>122</v>
      </c>
      <c r="Q33" s="6" t="s">
        <v>50</v>
      </c>
      <c r="R33" s="6" t="s">
        <v>48</v>
      </c>
      <c r="S33" s="6" t="s">
        <v>48</v>
      </c>
      <c r="T33" s="6" t="s">
        <v>52</v>
      </c>
      <c r="U33" s="5"/>
      <c r="V33" s="5"/>
      <c r="W33" s="5"/>
      <c r="X33" s="5"/>
      <c r="Y33" s="5"/>
      <c r="Z33" s="5"/>
    </row>
    <row r="34" ht="15.75" customHeight="1">
      <c r="A34" s="6" t="s">
        <v>24</v>
      </c>
      <c r="B34" s="6" t="s">
        <v>115</v>
      </c>
      <c r="C34" s="6" t="s">
        <v>53</v>
      </c>
      <c r="D34" s="6" t="s">
        <v>63</v>
      </c>
      <c r="E34" s="6" t="s">
        <v>116</v>
      </c>
      <c r="F34" s="6" t="s">
        <v>117</v>
      </c>
      <c r="G34" s="7">
        <v>153.11999999999998</v>
      </c>
      <c r="H34" s="6" t="s">
        <v>123</v>
      </c>
      <c r="I34" s="6" t="s">
        <v>48</v>
      </c>
      <c r="J34" s="8">
        <v>448.0</v>
      </c>
      <c r="K34" s="6" t="s">
        <v>53</v>
      </c>
      <c r="L34" s="6" t="s">
        <v>56</v>
      </c>
      <c r="M34" s="6" t="s">
        <v>57</v>
      </c>
      <c r="N34" s="6" t="s">
        <v>58</v>
      </c>
      <c r="O34" s="6" t="s">
        <v>119</v>
      </c>
      <c r="P34" s="8" t="s">
        <v>124</v>
      </c>
      <c r="Q34" s="6" t="s">
        <v>50</v>
      </c>
      <c r="R34" s="6" t="s">
        <v>48</v>
      </c>
      <c r="S34" s="6" t="s">
        <v>48</v>
      </c>
      <c r="T34" s="6" t="s">
        <v>52</v>
      </c>
      <c r="U34" s="5"/>
      <c r="V34" s="5"/>
      <c r="W34" s="5"/>
      <c r="X34" s="5"/>
      <c r="Y34" s="5"/>
      <c r="Z34" s="5"/>
    </row>
    <row r="35" ht="15.75" customHeight="1">
      <c r="A35" s="6" t="s">
        <v>24</v>
      </c>
      <c r="B35" s="6" t="s">
        <v>115</v>
      </c>
      <c r="C35" s="6" t="s">
        <v>53</v>
      </c>
      <c r="D35" s="6" t="s">
        <v>54</v>
      </c>
      <c r="E35" s="6" t="s">
        <v>116</v>
      </c>
      <c r="F35" s="6" t="s">
        <v>117</v>
      </c>
      <c r="G35" s="7">
        <v>191.39999999999998</v>
      </c>
      <c r="H35" s="6" t="s">
        <v>125</v>
      </c>
      <c r="I35" s="6" t="s">
        <v>48</v>
      </c>
      <c r="J35" s="8">
        <v>449.0</v>
      </c>
      <c r="K35" s="6" t="s">
        <v>53</v>
      </c>
      <c r="L35" s="6" t="s">
        <v>56</v>
      </c>
      <c r="M35" s="6" t="s">
        <v>57</v>
      </c>
      <c r="N35" s="6" t="s">
        <v>58</v>
      </c>
      <c r="O35" s="6" t="s">
        <v>119</v>
      </c>
      <c r="P35" s="8" t="s">
        <v>126</v>
      </c>
      <c r="Q35" s="6" t="s">
        <v>50</v>
      </c>
      <c r="R35" s="6" t="s">
        <v>48</v>
      </c>
      <c r="S35" s="6" t="s">
        <v>48</v>
      </c>
      <c r="T35" s="6" t="s">
        <v>52</v>
      </c>
      <c r="U35" s="5"/>
      <c r="V35" s="5"/>
      <c r="W35" s="5"/>
      <c r="X35" s="5"/>
      <c r="Y35" s="5"/>
      <c r="Z35" s="5"/>
    </row>
    <row r="36" ht="15.75" customHeight="1">
      <c r="A36" s="6" t="s">
        <v>24</v>
      </c>
      <c r="B36" s="6" t="s">
        <v>115</v>
      </c>
      <c r="C36" s="6" t="s">
        <v>53</v>
      </c>
      <c r="D36" s="6" t="s">
        <v>27</v>
      </c>
      <c r="E36" s="6" t="s">
        <v>116</v>
      </c>
      <c r="F36" s="6" t="s">
        <v>117</v>
      </c>
      <c r="G36" s="7">
        <v>229.67999999999998</v>
      </c>
      <c r="H36" s="6" t="s">
        <v>127</v>
      </c>
      <c r="I36" s="6" t="s">
        <v>48</v>
      </c>
      <c r="J36" s="8">
        <v>450.0</v>
      </c>
      <c r="K36" s="6" t="s">
        <v>53</v>
      </c>
      <c r="L36" s="6" t="s">
        <v>56</v>
      </c>
      <c r="M36" s="6" t="s">
        <v>57</v>
      </c>
      <c r="N36" s="6" t="s">
        <v>58</v>
      </c>
      <c r="O36" s="6" t="s">
        <v>119</v>
      </c>
      <c r="P36" s="8" t="s">
        <v>128</v>
      </c>
      <c r="Q36" s="6" t="s">
        <v>50</v>
      </c>
      <c r="R36" s="6" t="s">
        <v>48</v>
      </c>
      <c r="S36" s="6" t="s">
        <v>48</v>
      </c>
      <c r="T36" s="6" t="s">
        <v>52</v>
      </c>
      <c r="U36" s="5"/>
      <c r="V36" s="5"/>
      <c r="W36" s="5"/>
      <c r="X36" s="5"/>
      <c r="Y36" s="5"/>
      <c r="Z36" s="5"/>
    </row>
    <row r="37" ht="15.75" customHeight="1">
      <c r="A37" s="6" t="s">
        <v>24</v>
      </c>
      <c r="B37" s="6" t="s">
        <v>115</v>
      </c>
      <c r="C37" s="6" t="s">
        <v>53</v>
      </c>
      <c r="D37" s="6" t="s">
        <v>129</v>
      </c>
      <c r="E37" s="6" t="s">
        <v>116</v>
      </c>
      <c r="F37" s="6" t="s">
        <v>117</v>
      </c>
      <c r="G37" s="7">
        <v>561.4399999999999</v>
      </c>
      <c r="H37" s="6" t="s">
        <v>130</v>
      </c>
      <c r="I37" s="6" t="s">
        <v>48</v>
      </c>
      <c r="J37" s="8">
        <v>1230.0</v>
      </c>
      <c r="K37" s="6" t="s">
        <v>53</v>
      </c>
      <c r="L37" s="6" t="s">
        <v>56</v>
      </c>
      <c r="M37" s="6" t="s">
        <v>57</v>
      </c>
      <c r="N37" s="6" t="s">
        <v>58</v>
      </c>
      <c r="O37" s="6" t="s">
        <v>119</v>
      </c>
      <c r="P37" s="8" t="s">
        <v>131</v>
      </c>
      <c r="Q37" s="6" t="s">
        <v>50</v>
      </c>
      <c r="R37" s="6" t="s">
        <v>48</v>
      </c>
      <c r="S37" s="6" t="s">
        <v>48</v>
      </c>
      <c r="T37" s="6" t="s">
        <v>52</v>
      </c>
      <c r="U37" s="5"/>
      <c r="V37" s="5"/>
      <c r="W37" s="5"/>
      <c r="X37" s="5"/>
      <c r="Y37" s="5"/>
      <c r="Z37" s="5"/>
    </row>
    <row r="38" ht="15.75" customHeight="1">
      <c r="A38" s="6" t="s">
        <v>24</v>
      </c>
      <c r="B38" s="6" t="s">
        <v>115</v>
      </c>
      <c r="C38" s="6" t="s">
        <v>62</v>
      </c>
      <c r="D38" s="6" t="s">
        <v>63</v>
      </c>
      <c r="E38" s="6" t="s">
        <v>116</v>
      </c>
      <c r="F38" s="6" t="s">
        <v>117</v>
      </c>
      <c r="G38" s="7">
        <v>70.75999999999999</v>
      </c>
      <c r="H38" s="6" t="s">
        <v>132</v>
      </c>
      <c r="I38" s="6" t="s">
        <v>48</v>
      </c>
      <c r="J38" s="8">
        <v>436.0</v>
      </c>
      <c r="K38" s="6" t="s">
        <v>62</v>
      </c>
      <c r="L38" s="6" t="s">
        <v>65</v>
      </c>
      <c r="M38" s="6" t="s">
        <v>66</v>
      </c>
      <c r="N38" s="6" t="s">
        <v>58</v>
      </c>
      <c r="O38" s="6" t="s">
        <v>119</v>
      </c>
      <c r="P38" s="8" t="s">
        <v>124</v>
      </c>
      <c r="Q38" s="6" t="s">
        <v>50</v>
      </c>
      <c r="R38" s="6" t="s">
        <v>48</v>
      </c>
      <c r="S38" s="6" t="s">
        <v>48</v>
      </c>
      <c r="T38" s="6" t="s">
        <v>52</v>
      </c>
      <c r="U38" s="5"/>
      <c r="V38" s="5"/>
      <c r="W38" s="5"/>
      <c r="X38" s="5"/>
      <c r="Y38" s="5"/>
      <c r="Z38" s="5"/>
    </row>
    <row r="39" ht="15.75" customHeight="1">
      <c r="A39" s="6" t="s">
        <v>24</v>
      </c>
      <c r="B39" s="6" t="s">
        <v>115</v>
      </c>
      <c r="C39" s="6" t="s">
        <v>62</v>
      </c>
      <c r="D39" s="6" t="s">
        <v>54</v>
      </c>
      <c r="E39" s="6" t="s">
        <v>116</v>
      </c>
      <c r="F39" s="6" t="s">
        <v>117</v>
      </c>
      <c r="G39" s="7">
        <v>96.27999999999999</v>
      </c>
      <c r="H39" s="6" t="s">
        <v>133</v>
      </c>
      <c r="I39" s="6" t="s">
        <v>48</v>
      </c>
      <c r="J39" s="8">
        <v>437.0</v>
      </c>
      <c r="K39" s="6" t="s">
        <v>62</v>
      </c>
      <c r="L39" s="6" t="s">
        <v>69</v>
      </c>
      <c r="M39" s="6" t="s">
        <v>70</v>
      </c>
      <c r="N39" s="6" t="s">
        <v>58</v>
      </c>
      <c r="O39" s="6" t="s">
        <v>119</v>
      </c>
      <c r="P39" s="8" t="s">
        <v>126</v>
      </c>
      <c r="Q39" s="6" t="s">
        <v>50</v>
      </c>
      <c r="R39" s="6" t="s">
        <v>48</v>
      </c>
      <c r="S39" s="6" t="s">
        <v>48</v>
      </c>
      <c r="T39" s="6" t="s">
        <v>52</v>
      </c>
      <c r="U39" s="5"/>
      <c r="V39" s="5"/>
      <c r="W39" s="5"/>
      <c r="X39" s="5"/>
      <c r="Y39" s="5"/>
      <c r="Z39" s="5"/>
    </row>
    <row r="40" ht="15.75" customHeight="1">
      <c r="A40" s="6" t="s">
        <v>24</v>
      </c>
      <c r="B40" s="6" t="s">
        <v>115</v>
      </c>
      <c r="C40" s="6" t="s">
        <v>62</v>
      </c>
      <c r="D40" s="6" t="s">
        <v>27</v>
      </c>
      <c r="E40" s="6" t="s">
        <v>116</v>
      </c>
      <c r="F40" s="6" t="s">
        <v>117</v>
      </c>
      <c r="G40" s="7">
        <v>110.19999999999999</v>
      </c>
      <c r="H40" s="6" t="s">
        <v>134</v>
      </c>
      <c r="I40" s="6" t="s">
        <v>48</v>
      </c>
      <c r="J40" s="8">
        <v>438.0</v>
      </c>
      <c r="K40" s="6" t="s">
        <v>62</v>
      </c>
      <c r="L40" s="6" t="s">
        <v>69</v>
      </c>
      <c r="M40" s="6" t="s">
        <v>70</v>
      </c>
      <c r="N40" s="6" t="s">
        <v>58</v>
      </c>
      <c r="O40" s="6" t="s">
        <v>119</v>
      </c>
      <c r="P40" s="8" t="s">
        <v>128</v>
      </c>
      <c r="Q40" s="6" t="s">
        <v>50</v>
      </c>
      <c r="R40" s="6" t="s">
        <v>48</v>
      </c>
      <c r="S40" s="6" t="s">
        <v>48</v>
      </c>
      <c r="T40" s="6" t="s">
        <v>52</v>
      </c>
      <c r="U40" s="5"/>
      <c r="V40" s="5"/>
      <c r="W40" s="5"/>
      <c r="X40" s="5"/>
      <c r="Y40" s="5"/>
      <c r="Z40" s="5"/>
    </row>
    <row r="41" ht="15.75" customHeight="1">
      <c r="A41" s="6" t="s">
        <v>24</v>
      </c>
      <c r="B41" s="6" t="s">
        <v>115</v>
      </c>
      <c r="C41" s="6" t="s">
        <v>62</v>
      </c>
      <c r="D41" s="6" t="s">
        <v>129</v>
      </c>
      <c r="E41" s="6" t="s">
        <v>116</v>
      </c>
      <c r="F41" s="6" t="s">
        <v>117</v>
      </c>
      <c r="G41" s="7">
        <v>140.35999999999999</v>
      </c>
      <c r="H41" s="6" t="s">
        <v>135</v>
      </c>
      <c r="I41" s="6" t="s">
        <v>48</v>
      </c>
      <c r="J41" s="8">
        <v>439.0</v>
      </c>
      <c r="K41" s="6" t="s">
        <v>62</v>
      </c>
      <c r="L41" s="6" t="s">
        <v>69</v>
      </c>
      <c r="M41" s="6" t="s">
        <v>70</v>
      </c>
      <c r="N41" s="6" t="s">
        <v>58</v>
      </c>
      <c r="O41" s="6" t="s">
        <v>119</v>
      </c>
      <c r="P41" s="8" t="s">
        <v>136</v>
      </c>
      <c r="Q41" s="6" t="s">
        <v>50</v>
      </c>
      <c r="R41" s="6" t="s">
        <v>48</v>
      </c>
      <c r="S41" s="6" t="s">
        <v>48</v>
      </c>
      <c r="T41" s="6" t="s">
        <v>52</v>
      </c>
      <c r="U41" s="5"/>
      <c r="V41" s="5"/>
      <c r="W41" s="5"/>
      <c r="X41" s="5"/>
      <c r="Y41" s="5"/>
      <c r="Z41" s="5"/>
    </row>
    <row r="42" ht="15.75" customHeight="1">
      <c r="A42" s="6" t="s">
        <v>24</v>
      </c>
      <c r="B42" s="6" t="s">
        <v>115</v>
      </c>
      <c r="C42" s="6" t="s">
        <v>72</v>
      </c>
      <c r="D42" s="6" t="s">
        <v>63</v>
      </c>
      <c r="E42" s="6" t="s">
        <v>116</v>
      </c>
      <c r="F42" s="6" t="s">
        <v>117</v>
      </c>
      <c r="G42" s="7">
        <v>83.52</v>
      </c>
      <c r="H42" s="6" t="s">
        <v>137</v>
      </c>
      <c r="I42" s="6" t="s">
        <v>48</v>
      </c>
      <c r="J42" s="8">
        <v>441.0</v>
      </c>
      <c r="K42" s="6" t="s">
        <v>74</v>
      </c>
      <c r="L42" s="6" t="s">
        <v>75</v>
      </c>
      <c r="M42" s="6" t="s">
        <v>76</v>
      </c>
      <c r="N42" s="6" t="s">
        <v>58</v>
      </c>
      <c r="O42" s="6" t="s">
        <v>119</v>
      </c>
      <c r="P42" s="8" t="s">
        <v>124</v>
      </c>
      <c r="Q42" s="6" t="s">
        <v>50</v>
      </c>
      <c r="R42" s="6" t="s">
        <v>48</v>
      </c>
      <c r="S42" s="6" t="s">
        <v>48</v>
      </c>
      <c r="T42" s="6" t="s">
        <v>77</v>
      </c>
      <c r="U42" s="5"/>
      <c r="V42" s="5"/>
      <c r="W42" s="5"/>
      <c r="X42" s="5"/>
      <c r="Y42" s="5"/>
      <c r="Z42" s="5"/>
    </row>
    <row r="43" ht="15.75" customHeight="1">
      <c r="A43" s="6" t="s">
        <v>24</v>
      </c>
      <c r="B43" s="6" t="s">
        <v>115</v>
      </c>
      <c r="C43" s="6" t="s">
        <v>72</v>
      </c>
      <c r="D43" s="6" t="s">
        <v>54</v>
      </c>
      <c r="E43" s="6" t="s">
        <v>116</v>
      </c>
      <c r="F43" s="6" t="s">
        <v>117</v>
      </c>
      <c r="G43" s="7">
        <v>109.03999999999999</v>
      </c>
      <c r="H43" s="6" t="s">
        <v>138</v>
      </c>
      <c r="I43" s="6" t="s">
        <v>48</v>
      </c>
      <c r="J43" s="8">
        <v>442.0</v>
      </c>
      <c r="K43" s="6" t="s">
        <v>74</v>
      </c>
      <c r="L43" s="6" t="s">
        <v>75</v>
      </c>
      <c r="M43" s="6" t="s">
        <v>76</v>
      </c>
      <c r="N43" s="6" t="s">
        <v>58</v>
      </c>
      <c r="O43" s="6" t="s">
        <v>119</v>
      </c>
      <c r="P43" s="8" t="s">
        <v>126</v>
      </c>
      <c r="Q43" s="6" t="s">
        <v>50</v>
      </c>
      <c r="R43" s="6" t="s">
        <v>48</v>
      </c>
      <c r="S43" s="6" t="s">
        <v>48</v>
      </c>
      <c r="T43" s="6" t="s">
        <v>77</v>
      </c>
      <c r="U43" s="5"/>
      <c r="V43" s="5"/>
      <c r="W43" s="5"/>
      <c r="X43" s="5"/>
      <c r="Y43" s="5"/>
      <c r="Z43" s="5"/>
    </row>
    <row r="44" ht="15.75" customHeight="1">
      <c r="A44" s="6" t="s">
        <v>24</v>
      </c>
      <c r="B44" s="6" t="s">
        <v>115</v>
      </c>
      <c r="C44" s="6" t="s">
        <v>72</v>
      </c>
      <c r="D44" s="6" t="s">
        <v>27</v>
      </c>
      <c r="E44" s="6" t="s">
        <v>116</v>
      </c>
      <c r="F44" s="6" t="s">
        <v>117</v>
      </c>
      <c r="G44" s="7">
        <v>121.8</v>
      </c>
      <c r="H44" s="6" t="s">
        <v>139</v>
      </c>
      <c r="I44" s="6" t="s">
        <v>48</v>
      </c>
      <c r="J44" s="8">
        <v>443.0</v>
      </c>
      <c r="K44" s="6" t="s">
        <v>74</v>
      </c>
      <c r="L44" s="6" t="s">
        <v>75</v>
      </c>
      <c r="M44" s="6" t="s">
        <v>76</v>
      </c>
      <c r="N44" s="6" t="s">
        <v>58</v>
      </c>
      <c r="O44" s="6" t="s">
        <v>119</v>
      </c>
      <c r="P44" s="8" t="s">
        <v>128</v>
      </c>
      <c r="Q44" s="6" t="s">
        <v>50</v>
      </c>
      <c r="R44" s="6" t="s">
        <v>48</v>
      </c>
      <c r="S44" s="6" t="s">
        <v>48</v>
      </c>
      <c r="T44" s="6" t="s">
        <v>77</v>
      </c>
      <c r="U44" s="5"/>
      <c r="V44" s="5"/>
      <c r="W44" s="5"/>
      <c r="X44" s="5"/>
      <c r="Y44" s="5"/>
      <c r="Z44" s="5"/>
    </row>
    <row r="45" ht="15.75" customHeight="1">
      <c r="A45" s="6" t="s">
        <v>24</v>
      </c>
      <c r="B45" s="6" t="s">
        <v>115</v>
      </c>
      <c r="C45" s="6" t="s">
        <v>72</v>
      </c>
      <c r="D45" s="6" t="s">
        <v>129</v>
      </c>
      <c r="E45" s="6" t="s">
        <v>116</v>
      </c>
      <c r="F45" s="6" t="s">
        <v>117</v>
      </c>
      <c r="G45" s="7">
        <v>229.67999999999998</v>
      </c>
      <c r="H45" s="6" t="s">
        <v>140</v>
      </c>
      <c r="I45" s="6" t="s">
        <v>48</v>
      </c>
      <c r="J45" s="8">
        <v>3088.0</v>
      </c>
      <c r="K45" s="6" t="s">
        <v>74</v>
      </c>
      <c r="L45" s="6" t="s">
        <v>75</v>
      </c>
      <c r="M45" s="6" t="s">
        <v>76</v>
      </c>
      <c r="N45" s="6" t="s">
        <v>58</v>
      </c>
      <c r="O45" s="6" t="s">
        <v>119</v>
      </c>
      <c r="P45" s="8" t="s">
        <v>131</v>
      </c>
      <c r="Q45" s="6" t="s">
        <v>50</v>
      </c>
      <c r="R45" s="6" t="s">
        <v>48</v>
      </c>
      <c r="S45" s="6" t="s">
        <v>48</v>
      </c>
      <c r="T45" s="6" t="s">
        <v>77</v>
      </c>
      <c r="U45" s="5"/>
      <c r="V45" s="5"/>
      <c r="W45" s="5"/>
      <c r="X45" s="5"/>
      <c r="Y45" s="5"/>
      <c r="Z45" s="5"/>
    </row>
    <row r="46" ht="15.75" customHeight="1">
      <c r="A46" s="6" t="s">
        <v>24</v>
      </c>
      <c r="B46" s="6" t="s">
        <v>141</v>
      </c>
      <c r="C46" s="6" t="s">
        <v>26</v>
      </c>
      <c r="D46" s="6" t="s">
        <v>27</v>
      </c>
      <c r="E46" s="6" t="s">
        <v>142</v>
      </c>
      <c r="F46" s="6" t="s">
        <v>143</v>
      </c>
      <c r="G46" s="7">
        <v>147.32</v>
      </c>
      <c r="H46" s="6" t="s">
        <v>144</v>
      </c>
      <c r="I46" s="6" t="s">
        <v>31</v>
      </c>
      <c r="J46" s="8">
        <v>820.0</v>
      </c>
      <c r="K46" s="6" t="s">
        <v>36</v>
      </c>
      <c r="L46" s="6" t="s">
        <v>38</v>
      </c>
      <c r="M46" s="6" t="s">
        <v>39</v>
      </c>
      <c r="N46" s="6" t="s">
        <v>41</v>
      </c>
      <c r="O46" s="6" t="s">
        <v>145</v>
      </c>
      <c r="P46" s="8" t="s">
        <v>97</v>
      </c>
      <c r="Q46" s="6" t="s">
        <v>50</v>
      </c>
      <c r="R46" s="6" t="s">
        <v>48</v>
      </c>
      <c r="S46" s="6" t="s">
        <v>48</v>
      </c>
      <c r="T46" s="6" t="s">
        <v>51</v>
      </c>
      <c r="U46" s="5"/>
      <c r="V46" s="5"/>
      <c r="W46" s="5"/>
      <c r="X46" s="5"/>
      <c r="Y46" s="5"/>
      <c r="Z46" s="5"/>
    </row>
    <row r="47" ht="15.75" customHeight="1">
      <c r="A47" s="6" t="s">
        <v>24</v>
      </c>
      <c r="B47" s="6" t="s">
        <v>141</v>
      </c>
      <c r="C47" s="6" t="s">
        <v>26</v>
      </c>
      <c r="D47" s="6" t="s">
        <v>129</v>
      </c>
      <c r="E47" s="6" t="s">
        <v>142</v>
      </c>
      <c r="F47" s="6" t="s">
        <v>143</v>
      </c>
      <c r="G47" s="7">
        <v>178.64</v>
      </c>
      <c r="H47" s="6" t="s">
        <v>146</v>
      </c>
      <c r="I47" s="6" t="s">
        <v>31</v>
      </c>
      <c r="J47" s="8">
        <v>1199.0</v>
      </c>
      <c r="K47" s="6" t="s">
        <v>36</v>
      </c>
      <c r="L47" s="6" t="s">
        <v>38</v>
      </c>
      <c r="M47" s="6" t="s">
        <v>39</v>
      </c>
      <c r="N47" s="6" t="s">
        <v>41</v>
      </c>
      <c r="O47" s="6" t="s">
        <v>145</v>
      </c>
      <c r="P47" s="8" t="s">
        <v>147</v>
      </c>
      <c r="Q47" s="6" t="s">
        <v>50</v>
      </c>
      <c r="R47" s="6" t="s">
        <v>48</v>
      </c>
      <c r="S47" s="6" t="s">
        <v>48</v>
      </c>
      <c r="T47" s="6" t="s">
        <v>51</v>
      </c>
      <c r="U47" s="5"/>
      <c r="V47" s="5"/>
      <c r="W47" s="5"/>
      <c r="X47" s="5"/>
      <c r="Y47" s="5"/>
      <c r="Z47" s="5"/>
    </row>
    <row r="48" ht="15.75" customHeight="1">
      <c r="A48" s="6" t="s">
        <v>24</v>
      </c>
      <c r="B48" s="6" t="s">
        <v>141</v>
      </c>
      <c r="C48" s="6" t="s">
        <v>53</v>
      </c>
      <c r="D48" s="6" t="s">
        <v>54</v>
      </c>
      <c r="E48" s="6" t="s">
        <v>142</v>
      </c>
      <c r="F48" s="6" t="s">
        <v>143</v>
      </c>
      <c r="G48" s="7">
        <v>242.43999999999997</v>
      </c>
      <c r="H48" s="6" t="s">
        <v>148</v>
      </c>
      <c r="I48" s="6" t="s">
        <v>84</v>
      </c>
      <c r="J48" s="8">
        <v>536.0</v>
      </c>
      <c r="K48" s="6" t="s">
        <v>85</v>
      </c>
      <c r="L48" s="6" t="s">
        <v>86</v>
      </c>
      <c r="M48" s="6" t="s">
        <v>57</v>
      </c>
      <c r="N48" s="6" t="s">
        <v>58</v>
      </c>
      <c r="O48" s="6" t="s">
        <v>145</v>
      </c>
      <c r="P48" s="8" t="s">
        <v>149</v>
      </c>
      <c r="Q48" s="6" t="s">
        <v>50</v>
      </c>
      <c r="R48" s="6" t="s">
        <v>48</v>
      </c>
      <c r="S48" s="6" t="s">
        <v>48</v>
      </c>
      <c r="T48" s="6" t="s">
        <v>88</v>
      </c>
      <c r="U48" s="5"/>
      <c r="V48" s="5"/>
      <c r="W48" s="5"/>
      <c r="X48" s="5"/>
      <c r="Y48" s="5"/>
      <c r="Z48" s="5"/>
    </row>
    <row r="49" ht="15.75" customHeight="1">
      <c r="A49" s="6" t="s">
        <v>24</v>
      </c>
      <c r="B49" s="6" t="s">
        <v>141</v>
      </c>
      <c r="C49" s="6" t="s">
        <v>53</v>
      </c>
      <c r="D49" s="6" t="s">
        <v>27</v>
      </c>
      <c r="E49" s="6" t="s">
        <v>142</v>
      </c>
      <c r="F49" s="6" t="s">
        <v>143</v>
      </c>
      <c r="G49" s="7">
        <v>335.23999999999995</v>
      </c>
      <c r="H49" s="6" t="s">
        <v>83</v>
      </c>
      <c r="I49" s="6" t="s">
        <v>84</v>
      </c>
      <c r="J49" s="8">
        <v>1906.0</v>
      </c>
      <c r="K49" s="6" t="s">
        <v>85</v>
      </c>
      <c r="L49" s="6" t="s">
        <v>86</v>
      </c>
      <c r="M49" s="6" t="s">
        <v>57</v>
      </c>
      <c r="N49" s="6" t="s">
        <v>58</v>
      </c>
      <c r="O49" s="6" t="s">
        <v>145</v>
      </c>
      <c r="P49" s="8" t="s">
        <v>150</v>
      </c>
      <c r="Q49" s="6" t="s">
        <v>50</v>
      </c>
      <c r="R49" s="6" t="s">
        <v>48</v>
      </c>
      <c r="S49" s="6" t="s">
        <v>48</v>
      </c>
      <c r="T49" s="6" t="s">
        <v>88</v>
      </c>
      <c r="U49" s="5"/>
      <c r="V49" s="5"/>
      <c r="W49" s="5"/>
      <c r="X49" s="5"/>
      <c r="Y49" s="5"/>
      <c r="Z49" s="5"/>
    </row>
    <row r="50" ht="15.75" customHeight="1">
      <c r="A50" s="6" t="s">
        <v>24</v>
      </c>
      <c r="B50" s="6" t="s">
        <v>141</v>
      </c>
      <c r="C50" s="6" t="s">
        <v>72</v>
      </c>
      <c r="D50" s="6" t="s">
        <v>54</v>
      </c>
      <c r="E50" s="6" t="s">
        <v>142</v>
      </c>
      <c r="F50" s="6" t="s">
        <v>143</v>
      </c>
      <c r="G50" s="7">
        <v>114.83999999999999</v>
      </c>
      <c r="H50" s="6" t="s">
        <v>151</v>
      </c>
      <c r="I50" s="6" t="s">
        <v>48</v>
      </c>
      <c r="J50" s="8">
        <v>1136.0</v>
      </c>
      <c r="K50" s="6" t="s">
        <v>74</v>
      </c>
      <c r="L50" s="6" t="s">
        <v>75</v>
      </c>
      <c r="M50" s="6" t="s">
        <v>76</v>
      </c>
      <c r="N50" s="6" t="s">
        <v>58</v>
      </c>
      <c r="O50" s="6" t="s">
        <v>145</v>
      </c>
      <c r="P50" s="8" t="s">
        <v>149</v>
      </c>
      <c r="Q50" s="6" t="s">
        <v>50</v>
      </c>
      <c r="R50" s="6" t="s">
        <v>48</v>
      </c>
      <c r="S50" s="6" t="s">
        <v>48</v>
      </c>
      <c r="T50" s="6" t="s">
        <v>77</v>
      </c>
      <c r="U50" s="5"/>
      <c r="V50" s="5"/>
      <c r="W50" s="5"/>
      <c r="X50" s="5"/>
      <c r="Y50" s="5"/>
      <c r="Z50" s="5"/>
    </row>
    <row r="51" ht="15.75" customHeight="1">
      <c r="A51" s="6" t="s">
        <v>24</v>
      </c>
      <c r="B51" s="6" t="s">
        <v>152</v>
      </c>
      <c r="C51" s="6" t="s">
        <v>26</v>
      </c>
      <c r="D51" s="6" t="s">
        <v>27</v>
      </c>
      <c r="E51" s="6" t="s">
        <v>153</v>
      </c>
      <c r="F51" s="6" t="s">
        <v>154</v>
      </c>
      <c r="G51" s="7">
        <v>153.11999999999998</v>
      </c>
      <c r="H51" s="6" t="s">
        <v>155</v>
      </c>
      <c r="I51" s="6" t="s">
        <v>31</v>
      </c>
      <c r="J51" s="8">
        <v>943.0</v>
      </c>
      <c r="K51" s="6" t="s">
        <v>36</v>
      </c>
      <c r="L51" s="6" t="s">
        <v>38</v>
      </c>
      <c r="M51" s="6" t="s">
        <v>39</v>
      </c>
      <c r="N51" s="6" t="s">
        <v>41</v>
      </c>
      <c r="O51" s="6" t="s">
        <v>156</v>
      </c>
      <c r="P51" s="8" t="s">
        <v>157</v>
      </c>
      <c r="Q51" s="6" t="s">
        <v>50</v>
      </c>
      <c r="R51" s="6" t="s">
        <v>48</v>
      </c>
      <c r="S51" s="6" t="s">
        <v>48</v>
      </c>
      <c r="T51" s="6" t="s">
        <v>51</v>
      </c>
      <c r="U51" s="5"/>
      <c r="V51" s="5"/>
      <c r="W51" s="5"/>
      <c r="X51" s="5"/>
      <c r="Y51" s="5"/>
      <c r="Z51" s="5"/>
    </row>
    <row r="52" ht="15.75" customHeight="1">
      <c r="A52" s="6" t="s">
        <v>24</v>
      </c>
      <c r="B52" s="6" t="s">
        <v>152</v>
      </c>
      <c r="C52" s="6" t="s">
        <v>53</v>
      </c>
      <c r="D52" s="6" t="s">
        <v>54</v>
      </c>
      <c r="E52" s="6" t="s">
        <v>153</v>
      </c>
      <c r="F52" s="6" t="s">
        <v>154</v>
      </c>
      <c r="G52" s="7">
        <v>242.43999999999997</v>
      </c>
      <c r="H52" s="6" t="s">
        <v>158</v>
      </c>
      <c r="I52" s="6" t="s">
        <v>84</v>
      </c>
      <c r="J52" s="8">
        <v>565.0</v>
      </c>
      <c r="K52" s="6" t="s">
        <v>85</v>
      </c>
      <c r="L52" s="6" t="s">
        <v>86</v>
      </c>
      <c r="M52" s="6" t="s">
        <v>57</v>
      </c>
      <c r="N52" s="6" t="s">
        <v>58</v>
      </c>
      <c r="O52" s="6" t="s">
        <v>156</v>
      </c>
      <c r="P52" s="8" t="s">
        <v>159</v>
      </c>
      <c r="Q52" s="6" t="s">
        <v>50</v>
      </c>
      <c r="R52" s="6" t="s">
        <v>48</v>
      </c>
      <c r="S52" s="6" t="s">
        <v>48</v>
      </c>
      <c r="T52" s="6" t="s">
        <v>88</v>
      </c>
      <c r="U52" s="5"/>
      <c r="V52" s="5"/>
      <c r="W52" s="5"/>
      <c r="X52" s="5"/>
      <c r="Y52" s="5"/>
      <c r="Z52" s="5"/>
    </row>
    <row r="53" ht="15.75" customHeight="1">
      <c r="A53" s="6" t="s">
        <v>24</v>
      </c>
      <c r="B53" s="6" t="s">
        <v>152</v>
      </c>
      <c r="C53" s="6" t="s">
        <v>72</v>
      </c>
      <c r="D53" s="6" t="s">
        <v>54</v>
      </c>
      <c r="E53" s="6" t="s">
        <v>153</v>
      </c>
      <c r="F53" s="6" t="s">
        <v>154</v>
      </c>
      <c r="G53" s="7">
        <v>114.83999999999999</v>
      </c>
      <c r="H53" s="6" t="s">
        <v>100</v>
      </c>
      <c r="I53" s="6" t="s">
        <v>48</v>
      </c>
      <c r="J53" s="8">
        <v>1113.0</v>
      </c>
      <c r="K53" s="6" t="s">
        <v>74</v>
      </c>
      <c r="L53" s="6" t="s">
        <v>75</v>
      </c>
      <c r="M53" s="6" t="s">
        <v>76</v>
      </c>
      <c r="N53" s="6" t="s">
        <v>58</v>
      </c>
      <c r="O53" s="6" t="s">
        <v>156</v>
      </c>
      <c r="P53" s="8" t="s">
        <v>159</v>
      </c>
      <c r="Q53" s="6" t="s">
        <v>50</v>
      </c>
      <c r="R53" s="6" t="s">
        <v>48</v>
      </c>
      <c r="S53" s="6" t="s">
        <v>48</v>
      </c>
      <c r="T53" s="6" t="s">
        <v>77</v>
      </c>
      <c r="U53" s="5"/>
      <c r="V53" s="5"/>
      <c r="W53" s="5"/>
      <c r="X53" s="5"/>
      <c r="Y53" s="5"/>
      <c r="Z53" s="5"/>
    </row>
    <row r="54" ht="15.75" customHeight="1">
      <c r="A54" s="6" t="s">
        <v>24</v>
      </c>
      <c r="B54" s="6" t="s">
        <v>160</v>
      </c>
      <c r="C54" s="6" t="s">
        <v>26</v>
      </c>
      <c r="D54" s="6" t="s">
        <v>27</v>
      </c>
      <c r="E54" s="6" t="s">
        <v>161</v>
      </c>
      <c r="F54" s="6" t="s">
        <v>162</v>
      </c>
      <c r="G54" s="7">
        <v>153.11999999999998</v>
      </c>
      <c r="H54" s="6" t="s">
        <v>163</v>
      </c>
      <c r="I54" s="6" t="s">
        <v>31</v>
      </c>
      <c r="J54" s="8">
        <v>1938.0</v>
      </c>
      <c r="K54" s="6" t="s">
        <v>36</v>
      </c>
      <c r="L54" s="6" t="s">
        <v>38</v>
      </c>
      <c r="M54" s="6" t="s">
        <v>39</v>
      </c>
      <c r="N54" s="6" t="s">
        <v>41</v>
      </c>
      <c r="O54" s="6" t="s">
        <v>164</v>
      </c>
      <c r="P54" s="8" t="s">
        <v>165</v>
      </c>
      <c r="Q54" s="6" t="s">
        <v>50</v>
      </c>
      <c r="R54" s="6" t="s">
        <v>48</v>
      </c>
      <c r="S54" s="6" t="s">
        <v>48</v>
      </c>
      <c r="T54" s="6" t="s">
        <v>51</v>
      </c>
      <c r="U54" s="5"/>
      <c r="V54" s="5"/>
      <c r="W54" s="5"/>
      <c r="X54" s="5"/>
      <c r="Y54" s="5"/>
      <c r="Z54" s="5"/>
    </row>
    <row r="55" ht="15.75" customHeight="1">
      <c r="A55" s="6" t="s">
        <v>24</v>
      </c>
      <c r="B55" s="6" t="s">
        <v>160</v>
      </c>
      <c r="C55" s="6" t="s">
        <v>53</v>
      </c>
      <c r="D55" s="6" t="s">
        <v>54</v>
      </c>
      <c r="E55" s="6" t="s">
        <v>161</v>
      </c>
      <c r="F55" s="6" t="s">
        <v>162</v>
      </c>
      <c r="G55" s="7">
        <v>331.76</v>
      </c>
      <c r="H55" s="6" t="s">
        <v>166</v>
      </c>
      <c r="I55" s="6" t="s">
        <v>84</v>
      </c>
      <c r="J55" s="8">
        <v>1003.0</v>
      </c>
      <c r="K55" s="6" t="s">
        <v>85</v>
      </c>
      <c r="L55" s="6" t="s">
        <v>86</v>
      </c>
      <c r="M55" s="6" t="s">
        <v>57</v>
      </c>
      <c r="N55" s="6" t="s">
        <v>58</v>
      </c>
      <c r="O55" s="6" t="s">
        <v>164</v>
      </c>
      <c r="P55" s="8" t="s">
        <v>167</v>
      </c>
      <c r="Q55" s="6" t="s">
        <v>50</v>
      </c>
      <c r="R55" s="6" t="s">
        <v>48</v>
      </c>
      <c r="S55" s="6" t="s">
        <v>48</v>
      </c>
      <c r="T55" s="6" t="s">
        <v>88</v>
      </c>
      <c r="U55" s="5"/>
      <c r="V55" s="5"/>
      <c r="W55" s="5"/>
      <c r="X55" s="5"/>
      <c r="Y55" s="5"/>
      <c r="Z55" s="5"/>
    </row>
    <row r="56" ht="15.75" customHeight="1">
      <c r="A56" s="6" t="s">
        <v>24</v>
      </c>
      <c r="B56" s="6" t="s">
        <v>160</v>
      </c>
      <c r="C56" s="6" t="s">
        <v>72</v>
      </c>
      <c r="D56" s="6" t="s">
        <v>54</v>
      </c>
      <c r="E56" s="6" t="s">
        <v>161</v>
      </c>
      <c r="F56" s="6" t="s">
        <v>162</v>
      </c>
      <c r="G56" s="7">
        <v>134.56</v>
      </c>
      <c r="H56" s="6" t="s">
        <v>168</v>
      </c>
      <c r="I56" s="6" t="s">
        <v>48</v>
      </c>
      <c r="J56" s="8">
        <v>1100.0</v>
      </c>
      <c r="K56" s="6" t="s">
        <v>74</v>
      </c>
      <c r="L56" s="6" t="s">
        <v>75</v>
      </c>
      <c r="M56" s="6" t="s">
        <v>76</v>
      </c>
      <c r="N56" s="6" t="s">
        <v>58</v>
      </c>
      <c r="O56" s="6" t="s">
        <v>164</v>
      </c>
      <c r="P56" s="8" t="s">
        <v>167</v>
      </c>
      <c r="Q56" s="6" t="s">
        <v>50</v>
      </c>
      <c r="R56" s="6" t="s">
        <v>48</v>
      </c>
      <c r="S56" s="6" t="s">
        <v>48</v>
      </c>
      <c r="T56" s="6" t="s">
        <v>77</v>
      </c>
      <c r="U56" s="5"/>
      <c r="V56" s="5"/>
      <c r="W56" s="5"/>
      <c r="X56" s="5"/>
      <c r="Y56" s="5"/>
      <c r="Z56" s="5"/>
    </row>
    <row r="57" ht="15.75" customHeight="1">
      <c r="A57" s="6" t="s">
        <v>24</v>
      </c>
      <c r="B57" s="6" t="s">
        <v>169</v>
      </c>
      <c r="C57" s="6" t="s">
        <v>26</v>
      </c>
      <c r="D57" s="6" t="s">
        <v>27</v>
      </c>
      <c r="E57" s="6" t="s">
        <v>170</v>
      </c>
      <c r="F57" s="6" t="s">
        <v>171</v>
      </c>
      <c r="G57" s="7">
        <v>139.2</v>
      </c>
      <c r="H57" s="6" t="s">
        <v>172</v>
      </c>
      <c r="I57" s="6" t="s">
        <v>37</v>
      </c>
      <c r="J57" s="8">
        <v>6193.0</v>
      </c>
      <c r="K57" s="6" t="s">
        <v>40</v>
      </c>
      <c r="L57" s="6" t="s">
        <v>42</v>
      </c>
      <c r="M57" s="6" t="s">
        <v>44</v>
      </c>
      <c r="N57" s="6" t="s">
        <v>41</v>
      </c>
      <c r="O57" s="6" t="s">
        <v>173</v>
      </c>
      <c r="P57" s="8" t="s">
        <v>174</v>
      </c>
      <c r="Q57" s="6" t="s">
        <v>50</v>
      </c>
      <c r="R57" s="6" t="s">
        <v>48</v>
      </c>
      <c r="S57" s="6" t="s">
        <v>48</v>
      </c>
      <c r="T57" s="6" t="s">
        <v>52</v>
      </c>
      <c r="U57" s="5"/>
      <c r="V57" s="5"/>
      <c r="W57" s="5"/>
      <c r="X57" s="5"/>
      <c r="Y57" s="5"/>
      <c r="Z57" s="5"/>
    </row>
    <row r="58" ht="15.75" customHeight="1">
      <c r="A58" s="6" t="s">
        <v>24</v>
      </c>
      <c r="B58" s="6" t="s">
        <v>169</v>
      </c>
      <c r="C58" s="6" t="s">
        <v>53</v>
      </c>
      <c r="D58" s="6" t="s">
        <v>54</v>
      </c>
      <c r="E58" s="6" t="s">
        <v>170</v>
      </c>
      <c r="F58" s="6" t="s">
        <v>171</v>
      </c>
      <c r="G58" s="7">
        <v>330.59999999999997</v>
      </c>
      <c r="H58" s="6" t="s">
        <v>175</v>
      </c>
      <c r="I58" s="6" t="s">
        <v>48</v>
      </c>
      <c r="J58" s="8">
        <v>6204.0</v>
      </c>
      <c r="K58" s="6" t="s">
        <v>53</v>
      </c>
      <c r="L58" s="6" t="s">
        <v>56</v>
      </c>
      <c r="M58" s="6" t="s">
        <v>57</v>
      </c>
      <c r="N58" s="6" t="s">
        <v>58</v>
      </c>
      <c r="O58" s="6" t="s">
        <v>173</v>
      </c>
      <c r="P58" s="8" t="s">
        <v>176</v>
      </c>
      <c r="Q58" s="6" t="s">
        <v>50</v>
      </c>
      <c r="R58" s="6" t="s">
        <v>48</v>
      </c>
      <c r="S58" s="6" t="s">
        <v>48</v>
      </c>
      <c r="T58" s="6" t="s">
        <v>52</v>
      </c>
      <c r="U58" s="5"/>
      <c r="V58" s="5"/>
      <c r="W58" s="5"/>
      <c r="X58" s="5"/>
      <c r="Y58" s="5"/>
      <c r="Z58" s="5"/>
    </row>
    <row r="59" ht="15.75" customHeight="1">
      <c r="A59" s="6" t="s">
        <v>24</v>
      </c>
      <c r="B59" s="6" t="s">
        <v>169</v>
      </c>
      <c r="C59" s="6" t="s">
        <v>62</v>
      </c>
      <c r="D59" s="6" t="s">
        <v>27</v>
      </c>
      <c r="E59" s="6" t="s">
        <v>170</v>
      </c>
      <c r="F59" s="6" t="s">
        <v>171</v>
      </c>
      <c r="G59" s="7">
        <v>115.99999999999999</v>
      </c>
      <c r="H59" s="6" t="s">
        <v>177</v>
      </c>
      <c r="I59" s="6" t="s">
        <v>48</v>
      </c>
      <c r="J59" s="8">
        <v>954.0</v>
      </c>
      <c r="K59" s="6" t="s">
        <v>62</v>
      </c>
      <c r="L59" s="6" t="s">
        <v>69</v>
      </c>
      <c r="M59" s="6" t="s">
        <v>70</v>
      </c>
      <c r="N59" s="6" t="s">
        <v>58</v>
      </c>
      <c r="O59" s="6" t="s">
        <v>173</v>
      </c>
      <c r="P59" s="8" t="s">
        <v>178</v>
      </c>
      <c r="Q59" s="6" t="s">
        <v>50</v>
      </c>
      <c r="R59" s="6" t="s">
        <v>48</v>
      </c>
      <c r="S59" s="6" t="s">
        <v>48</v>
      </c>
      <c r="T59" s="6" t="s">
        <v>52</v>
      </c>
      <c r="U59" s="5"/>
      <c r="V59" s="5"/>
      <c r="W59" s="5"/>
      <c r="X59" s="5"/>
      <c r="Y59" s="5"/>
      <c r="Z59" s="5"/>
    </row>
    <row r="60" ht="15.75" customHeight="1">
      <c r="A60" s="6" t="s">
        <v>24</v>
      </c>
      <c r="B60" s="6" t="s">
        <v>169</v>
      </c>
      <c r="C60" s="6" t="s">
        <v>72</v>
      </c>
      <c r="D60" s="6" t="s">
        <v>54</v>
      </c>
      <c r="E60" s="6" t="s">
        <v>170</v>
      </c>
      <c r="F60" s="6" t="s">
        <v>171</v>
      </c>
      <c r="G60" s="7">
        <v>115.99999999999999</v>
      </c>
      <c r="H60" s="6" t="s">
        <v>83</v>
      </c>
      <c r="I60" s="6" t="s">
        <v>48</v>
      </c>
      <c r="J60" s="8">
        <v>2002.0</v>
      </c>
      <c r="K60" s="6" t="s">
        <v>74</v>
      </c>
      <c r="L60" s="6" t="s">
        <v>75</v>
      </c>
      <c r="M60" s="6" t="s">
        <v>76</v>
      </c>
      <c r="N60" s="6" t="s">
        <v>58</v>
      </c>
      <c r="O60" s="6" t="s">
        <v>173</v>
      </c>
      <c r="P60" s="8" t="s">
        <v>176</v>
      </c>
      <c r="Q60" s="6" t="s">
        <v>50</v>
      </c>
      <c r="R60" s="6" t="s">
        <v>48</v>
      </c>
      <c r="S60" s="6" t="s">
        <v>48</v>
      </c>
      <c r="T60" s="6" t="s">
        <v>77</v>
      </c>
      <c r="U60" s="5"/>
      <c r="V60" s="5"/>
      <c r="W60" s="5"/>
      <c r="X60" s="5"/>
      <c r="Y60" s="5"/>
      <c r="Z60" s="5"/>
    </row>
    <row r="61" ht="15.75" customHeight="1">
      <c r="A61" s="6" t="s">
        <v>24</v>
      </c>
      <c r="B61" s="6" t="s">
        <v>169</v>
      </c>
      <c r="C61" s="6" t="s">
        <v>72</v>
      </c>
      <c r="D61" s="6" t="s">
        <v>27</v>
      </c>
      <c r="E61" s="6" t="s">
        <v>170</v>
      </c>
      <c r="F61" s="6" t="s">
        <v>171</v>
      </c>
      <c r="G61" s="7">
        <v>127.6</v>
      </c>
      <c r="H61" s="6" t="s">
        <v>179</v>
      </c>
      <c r="I61" s="6" t="s">
        <v>48</v>
      </c>
      <c r="J61" s="8">
        <v>6190.0</v>
      </c>
      <c r="K61" s="6" t="s">
        <v>74</v>
      </c>
      <c r="L61" s="6" t="s">
        <v>75</v>
      </c>
      <c r="M61" s="6" t="s">
        <v>76</v>
      </c>
      <c r="N61" s="6" t="s">
        <v>58</v>
      </c>
      <c r="O61" s="6" t="s">
        <v>173</v>
      </c>
      <c r="P61" s="8" t="s">
        <v>178</v>
      </c>
      <c r="Q61" s="6" t="s">
        <v>50</v>
      </c>
      <c r="R61" s="6" t="s">
        <v>48</v>
      </c>
      <c r="S61" s="6" t="s">
        <v>48</v>
      </c>
      <c r="T61" s="6" t="s">
        <v>77</v>
      </c>
      <c r="U61" s="5"/>
      <c r="V61" s="5"/>
      <c r="W61" s="5"/>
      <c r="X61" s="5"/>
      <c r="Y61" s="5"/>
      <c r="Z61" s="5"/>
    </row>
    <row r="62" ht="15.75" customHeight="1">
      <c r="A62" s="6" t="s">
        <v>24</v>
      </c>
      <c r="B62" s="6" t="s">
        <v>180</v>
      </c>
      <c r="C62" s="6" t="s">
        <v>26</v>
      </c>
      <c r="D62" s="6" t="s">
        <v>27</v>
      </c>
      <c r="E62" s="6" t="s">
        <v>181</v>
      </c>
      <c r="F62" s="6" t="s">
        <v>182</v>
      </c>
      <c r="G62" s="7">
        <v>153.11999999999998</v>
      </c>
      <c r="H62" s="6" t="s">
        <v>183</v>
      </c>
      <c r="I62" s="6" t="s">
        <v>31</v>
      </c>
      <c r="J62" s="8">
        <v>779.0</v>
      </c>
      <c r="K62" s="6" t="s">
        <v>36</v>
      </c>
      <c r="L62" s="6" t="s">
        <v>38</v>
      </c>
      <c r="M62" s="6" t="s">
        <v>39</v>
      </c>
      <c r="N62" s="6" t="s">
        <v>41</v>
      </c>
      <c r="O62" s="6" t="s">
        <v>184</v>
      </c>
      <c r="P62" s="8" t="s">
        <v>185</v>
      </c>
      <c r="Q62" s="6" t="s">
        <v>50</v>
      </c>
      <c r="R62" s="6" t="s">
        <v>48</v>
      </c>
      <c r="S62" s="6" t="s">
        <v>48</v>
      </c>
      <c r="T62" s="6" t="s">
        <v>51</v>
      </c>
      <c r="U62" s="5"/>
      <c r="V62" s="5"/>
      <c r="W62" s="5"/>
      <c r="X62" s="5"/>
      <c r="Y62" s="5"/>
      <c r="Z62" s="5"/>
    </row>
    <row r="63" ht="15.75" customHeight="1">
      <c r="A63" s="6" t="s">
        <v>24</v>
      </c>
      <c r="B63" s="6" t="s">
        <v>180</v>
      </c>
      <c r="C63" s="6" t="s">
        <v>53</v>
      </c>
      <c r="D63" s="6" t="s">
        <v>54</v>
      </c>
      <c r="E63" s="6" t="s">
        <v>181</v>
      </c>
      <c r="F63" s="6" t="s">
        <v>182</v>
      </c>
      <c r="G63" s="7">
        <v>242.43999999999997</v>
      </c>
      <c r="H63" s="6" t="s">
        <v>186</v>
      </c>
      <c r="I63" s="6" t="s">
        <v>84</v>
      </c>
      <c r="J63" s="8">
        <v>741.0</v>
      </c>
      <c r="K63" s="6" t="s">
        <v>85</v>
      </c>
      <c r="L63" s="6" t="s">
        <v>86</v>
      </c>
      <c r="M63" s="6" t="s">
        <v>57</v>
      </c>
      <c r="N63" s="6" t="s">
        <v>58</v>
      </c>
      <c r="O63" s="6" t="s">
        <v>184</v>
      </c>
      <c r="P63" s="8" t="s">
        <v>187</v>
      </c>
      <c r="Q63" s="6" t="s">
        <v>50</v>
      </c>
      <c r="R63" s="6" t="s">
        <v>48</v>
      </c>
      <c r="S63" s="6" t="s">
        <v>48</v>
      </c>
      <c r="T63" s="6" t="s">
        <v>88</v>
      </c>
      <c r="U63" s="5"/>
      <c r="V63" s="5"/>
      <c r="W63" s="5"/>
      <c r="X63" s="5"/>
      <c r="Y63" s="5"/>
      <c r="Z63" s="5"/>
    </row>
    <row r="64" ht="15.75" customHeight="1">
      <c r="A64" s="6" t="s">
        <v>24</v>
      </c>
      <c r="B64" s="6" t="s">
        <v>180</v>
      </c>
      <c r="C64" s="6" t="s">
        <v>53</v>
      </c>
      <c r="D64" s="6" t="s">
        <v>27</v>
      </c>
      <c r="E64" s="6" t="s">
        <v>181</v>
      </c>
      <c r="F64" s="6" t="s">
        <v>182</v>
      </c>
      <c r="G64" s="7">
        <v>319.0</v>
      </c>
      <c r="H64" s="6" t="s">
        <v>188</v>
      </c>
      <c r="I64" s="6" t="s">
        <v>84</v>
      </c>
      <c r="J64" s="8">
        <v>1860.0</v>
      </c>
      <c r="K64" s="6" t="s">
        <v>85</v>
      </c>
      <c r="L64" s="6" t="s">
        <v>86</v>
      </c>
      <c r="M64" s="6" t="s">
        <v>57</v>
      </c>
      <c r="N64" s="6" t="s">
        <v>58</v>
      </c>
      <c r="O64" s="6" t="s">
        <v>184</v>
      </c>
      <c r="P64" s="8" t="s">
        <v>189</v>
      </c>
      <c r="Q64" s="6" t="s">
        <v>50</v>
      </c>
      <c r="R64" s="6" t="s">
        <v>48</v>
      </c>
      <c r="S64" s="6" t="s">
        <v>48</v>
      </c>
      <c r="T64" s="6" t="s">
        <v>88</v>
      </c>
      <c r="U64" s="5"/>
      <c r="V64" s="5"/>
      <c r="W64" s="5"/>
      <c r="X64" s="5"/>
      <c r="Y64" s="5"/>
      <c r="Z64" s="5"/>
    </row>
    <row r="65" ht="15.75" customHeight="1">
      <c r="A65" s="6" t="s">
        <v>24</v>
      </c>
      <c r="B65" s="6" t="s">
        <v>180</v>
      </c>
      <c r="C65" s="6" t="s">
        <v>72</v>
      </c>
      <c r="D65" s="6" t="s">
        <v>54</v>
      </c>
      <c r="E65" s="6" t="s">
        <v>181</v>
      </c>
      <c r="F65" s="6" t="s">
        <v>182</v>
      </c>
      <c r="G65" s="7">
        <v>114.83999999999999</v>
      </c>
      <c r="H65" s="6" t="s">
        <v>190</v>
      </c>
      <c r="I65" s="6" t="s">
        <v>48</v>
      </c>
      <c r="J65" s="8">
        <v>1025.0</v>
      </c>
      <c r="K65" s="6" t="s">
        <v>74</v>
      </c>
      <c r="L65" s="6" t="s">
        <v>75</v>
      </c>
      <c r="M65" s="6" t="s">
        <v>76</v>
      </c>
      <c r="N65" s="6" t="s">
        <v>58</v>
      </c>
      <c r="O65" s="6" t="s">
        <v>184</v>
      </c>
      <c r="P65" s="8" t="s">
        <v>187</v>
      </c>
      <c r="Q65" s="6" t="s">
        <v>50</v>
      </c>
      <c r="R65" s="6" t="s">
        <v>48</v>
      </c>
      <c r="S65" s="6" t="s">
        <v>48</v>
      </c>
      <c r="T65" s="6" t="s">
        <v>77</v>
      </c>
      <c r="U65" s="5"/>
      <c r="V65" s="5"/>
      <c r="W65" s="5"/>
      <c r="X65" s="5"/>
      <c r="Y65" s="5"/>
      <c r="Z65" s="5"/>
    </row>
    <row r="66" ht="15.75" customHeight="1">
      <c r="A66" s="6" t="s">
        <v>24</v>
      </c>
      <c r="B66" s="6" t="s">
        <v>191</v>
      </c>
      <c r="C66" s="6" t="s">
        <v>26</v>
      </c>
      <c r="D66" s="6" t="s">
        <v>27</v>
      </c>
      <c r="E66" s="6" t="s">
        <v>192</v>
      </c>
      <c r="F66" s="6" t="s">
        <v>193</v>
      </c>
      <c r="G66" s="7">
        <v>156.6</v>
      </c>
      <c r="H66" s="6" t="s">
        <v>194</v>
      </c>
      <c r="I66" s="6" t="s">
        <v>31</v>
      </c>
      <c r="J66" s="8">
        <v>765.0</v>
      </c>
      <c r="K66" s="6" t="s">
        <v>36</v>
      </c>
      <c r="L66" s="6" t="s">
        <v>38</v>
      </c>
      <c r="M66" s="6" t="s">
        <v>39</v>
      </c>
      <c r="N66" s="6" t="s">
        <v>41</v>
      </c>
      <c r="O66" s="6" t="s">
        <v>195</v>
      </c>
      <c r="P66" s="8" t="s">
        <v>196</v>
      </c>
      <c r="Q66" s="6" t="s">
        <v>50</v>
      </c>
      <c r="R66" s="6" t="s">
        <v>48</v>
      </c>
      <c r="S66" s="6" t="s">
        <v>48</v>
      </c>
      <c r="T66" s="6" t="s">
        <v>51</v>
      </c>
      <c r="U66" s="5"/>
      <c r="V66" s="5"/>
      <c r="W66" s="5"/>
      <c r="X66" s="5"/>
      <c r="Y66" s="5"/>
      <c r="Z66" s="5"/>
    </row>
    <row r="67" ht="15.75" customHeight="1">
      <c r="A67" s="6" t="s">
        <v>24</v>
      </c>
      <c r="B67" s="6" t="s">
        <v>191</v>
      </c>
      <c r="C67" s="6" t="s">
        <v>53</v>
      </c>
      <c r="D67" s="6" t="s">
        <v>54</v>
      </c>
      <c r="E67" s="6" t="s">
        <v>192</v>
      </c>
      <c r="F67" s="6" t="s">
        <v>193</v>
      </c>
      <c r="G67" s="7">
        <v>243.6</v>
      </c>
      <c r="H67" s="6" t="s">
        <v>197</v>
      </c>
      <c r="I67" s="6" t="s">
        <v>84</v>
      </c>
      <c r="J67" s="8">
        <v>6652.0</v>
      </c>
      <c r="K67" s="6" t="s">
        <v>85</v>
      </c>
      <c r="L67" s="6" t="s">
        <v>86</v>
      </c>
      <c r="M67" s="6" t="s">
        <v>57</v>
      </c>
      <c r="N67" s="6" t="s">
        <v>58</v>
      </c>
      <c r="O67" s="6" t="s">
        <v>195</v>
      </c>
      <c r="P67" s="8" t="s">
        <v>198</v>
      </c>
      <c r="Q67" s="6" t="s">
        <v>50</v>
      </c>
      <c r="R67" s="6" t="s">
        <v>48</v>
      </c>
      <c r="S67" s="6" t="s">
        <v>48</v>
      </c>
      <c r="T67" s="6" t="s">
        <v>88</v>
      </c>
      <c r="U67" s="5"/>
      <c r="V67" s="5"/>
      <c r="W67" s="5"/>
      <c r="X67" s="5"/>
      <c r="Y67" s="5"/>
      <c r="Z67" s="5"/>
    </row>
    <row r="68" ht="15.75" customHeight="1">
      <c r="A68" s="6" t="s">
        <v>199</v>
      </c>
      <c r="B68" s="6" t="s">
        <v>200</v>
      </c>
      <c r="C68" s="6" t="s">
        <v>26</v>
      </c>
      <c r="D68" s="6" t="s">
        <v>63</v>
      </c>
      <c r="E68" s="6" t="s">
        <v>201</v>
      </c>
      <c r="F68" s="6" t="s">
        <v>202</v>
      </c>
      <c r="G68" s="7">
        <v>150.79999999999998</v>
      </c>
      <c r="H68" s="6" t="s">
        <v>177</v>
      </c>
      <c r="I68" s="6" t="s">
        <v>37</v>
      </c>
      <c r="J68" s="8">
        <v>790.0</v>
      </c>
      <c r="K68" s="6" t="s">
        <v>40</v>
      </c>
      <c r="L68" s="6" t="s">
        <v>42</v>
      </c>
      <c r="M68" s="6" t="s">
        <v>44</v>
      </c>
      <c r="N68" s="6" t="s">
        <v>41</v>
      </c>
      <c r="O68" s="6" t="s">
        <v>203</v>
      </c>
      <c r="P68" s="8" t="s">
        <v>204</v>
      </c>
      <c r="Q68" s="6" t="s">
        <v>46</v>
      </c>
      <c r="R68" s="6" t="s">
        <v>48</v>
      </c>
      <c r="S68" s="6" t="s">
        <v>48</v>
      </c>
      <c r="T68" s="6" t="s">
        <v>52</v>
      </c>
      <c r="U68" s="5"/>
      <c r="V68" s="5"/>
      <c r="W68" s="5"/>
      <c r="X68" s="5"/>
      <c r="Y68" s="5"/>
      <c r="Z68" s="5"/>
    </row>
    <row r="69" ht="15.75" customHeight="1">
      <c r="A69" s="6" t="s">
        <v>199</v>
      </c>
      <c r="B69" s="6" t="s">
        <v>200</v>
      </c>
      <c r="C69" s="6" t="s">
        <v>53</v>
      </c>
      <c r="D69" s="6" t="s">
        <v>63</v>
      </c>
      <c r="E69" s="6" t="s">
        <v>201</v>
      </c>
      <c r="F69" s="6" t="s">
        <v>202</v>
      </c>
      <c r="G69" s="7">
        <v>208.79999999999998</v>
      </c>
      <c r="H69" s="6" t="s">
        <v>177</v>
      </c>
      <c r="I69" s="6" t="s">
        <v>48</v>
      </c>
      <c r="J69" s="8">
        <v>1157.0</v>
      </c>
      <c r="K69" s="6" t="s">
        <v>53</v>
      </c>
      <c r="L69" s="6" t="s">
        <v>56</v>
      </c>
      <c r="M69" s="6" t="s">
        <v>57</v>
      </c>
      <c r="N69" s="6" t="s">
        <v>58</v>
      </c>
      <c r="O69" s="6" t="s">
        <v>203</v>
      </c>
      <c r="P69" s="8" t="s">
        <v>205</v>
      </c>
      <c r="Q69" s="6" t="s">
        <v>46</v>
      </c>
      <c r="R69" s="6" t="s">
        <v>48</v>
      </c>
      <c r="S69" s="6" t="s">
        <v>48</v>
      </c>
      <c r="T69" s="6" t="s">
        <v>52</v>
      </c>
      <c r="U69" s="5"/>
      <c r="V69" s="5"/>
      <c r="W69" s="5"/>
      <c r="X69" s="5"/>
      <c r="Y69" s="5"/>
      <c r="Z69" s="5"/>
    </row>
    <row r="70" ht="15.75" customHeight="1">
      <c r="A70" s="6" t="s">
        <v>199</v>
      </c>
      <c r="B70" s="6" t="s">
        <v>200</v>
      </c>
      <c r="C70" s="6" t="s">
        <v>62</v>
      </c>
      <c r="D70" s="6" t="s">
        <v>63</v>
      </c>
      <c r="E70" s="6" t="s">
        <v>201</v>
      </c>
      <c r="F70" s="6" t="s">
        <v>202</v>
      </c>
      <c r="G70" s="7">
        <v>92.8</v>
      </c>
      <c r="H70" s="6" t="s">
        <v>83</v>
      </c>
      <c r="I70" s="6" t="s">
        <v>48</v>
      </c>
      <c r="J70" s="8">
        <v>2.0</v>
      </c>
      <c r="K70" s="6" t="s">
        <v>62</v>
      </c>
      <c r="L70" s="6" t="s">
        <v>65</v>
      </c>
      <c r="M70" s="6" t="s">
        <v>66</v>
      </c>
      <c r="N70" s="6" t="s">
        <v>58</v>
      </c>
      <c r="O70" s="6" t="s">
        <v>203</v>
      </c>
      <c r="P70" s="8" t="s">
        <v>205</v>
      </c>
      <c r="Q70" s="6" t="s">
        <v>46</v>
      </c>
      <c r="R70" s="6" t="s">
        <v>48</v>
      </c>
      <c r="S70" s="6" t="s">
        <v>48</v>
      </c>
      <c r="T70" s="6" t="s">
        <v>52</v>
      </c>
      <c r="U70" s="5"/>
      <c r="V70" s="5"/>
      <c r="W70" s="5"/>
      <c r="X70" s="5"/>
      <c r="Y70" s="5"/>
      <c r="Z70" s="5"/>
    </row>
    <row r="71" ht="15.75" customHeight="1">
      <c r="A71" s="6" t="s">
        <v>199</v>
      </c>
      <c r="B71" s="6" t="s">
        <v>200</v>
      </c>
      <c r="C71" s="6" t="s">
        <v>72</v>
      </c>
      <c r="D71" s="6" t="s">
        <v>63</v>
      </c>
      <c r="E71" s="6" t="s">
        <v>201</v>
      </c>
      <c r="F71" s="6" t="s">
        <v>202</v>
      </c>
      <c r="G71" s="7">
        <v>104.39999999999999</v>
      </c>
      <c r="H71" s="6" t="s">
        <v>83</v>
      </c>
      <c r="I71" s="6" t="s">
        <v>48</v>
      </c>
      <c r="J71" s="8">
        <v>1864.0</v>
      </c>
      <c r="K71" s="6" t="s">
        <v>74</v>
      </c>
      <c r="L71" s="6" t="s">
        <v>206</v>
      </c>
      <c r="M71" s="6" t="s">
        <v>207</v>
      </c>
      <c r="N71" s="6" t="s">
        <v>58</v>
      </c>
      <c r="O71" s="6" t="s">
        <v>203</v>
      </c>
      <c r="P71" s="8" t="s">
        <v>205</v>
      </c>
      <c r="Q71" s="6" t="s">
        <v>46</v>
      </c>
      <c r="R71" s="6" t="s">
        <v>48</v>
      </c>
      <c r="S71" s="6" t="s">
        <v>48</v>
      </c>
      <c r="T71" s="6" t="s">
        <v>77</v>
      </c>
      <c r="U71" s="5"/>
      <c r="V71" s="5"/>
      <c r="W71" s="5"/>
      <c r="X71" s="5"/>
      <c r="Y71" s="5"/>
      <c r="Z71" s="5"/>
    </row>
    <row r="72" ht="15.75" customHeight="1">
      <c r="A72" s="6" t="s">
        <v>199</v>
      </c>
      <c r="B72" s="6" t="s">
        <v>208</v>
      </c>
      <c r="C72" s="6" t="s">
        <v>26</v>
      </c>
      <c r="D72" s="6" t="s">
        <v>54</v>
      </c>
      <c r="E72" s="6" t="s">
        <v>209</v>
      </c>
      <c r="F72" s="6" t="s">
        <v>210</v>
      </c>
      <c r="G72" s="7">
        <v>121.8</v>
      </c>
      <c r="H72" s="6" t="s">
        <v>211</v>
      </c>
      <c r="I72" s="6" t="s">
        <v>37</v>
      </c>
      <c r="J72" s="8">
        <v>24.0</v>
      </c>
      <c r="K72" s="6" t="s">
        <v>40</v>
      </c>
      <c r="L72" s="6" t="s">
        <v>42</v>
      </c>
      <c r="M72" s="6" t="s">
        <v>44</v>
      </c>
      <c r="N72" s="6" t="s">
        <v>41</v>
      </c>
      <c r="O72" s="6" t="s">
        <v>212</v>
      </c>
      <c r="P72" s="8" t="s">
        <v>213</v>
      </c>
      <c r="Q72" s="6" t="s">
        <v>46</v>
      </c>
      <c r="R72" s="6" t="s">
        <v>48</v>
      </c>
      <c r="S72" s="6" t="s">
        <v>48</v>
      </c>
      <c r="T72" s="6" t="s">
        <v>52</v>
      </c>
      <c r="U72" s="5"/>
      <c r="V72" s="5"/>
      <c r="W72" s="5"/>
      <c r="X72" s="5"/>
      <c r="Y72" s="5"/>
      <c r="Z72" s="5"/>
    </row>
    <row r="73" ht="15.75" customHeight="1">
      <c r="A73" s="6" t="s">
        <v>199</v>
      </c>
      <c r="B73" s="6" t="s">
        <v>208</v>
      </c>
      <c r="C73" s="6" t="s">
        <v>53</v>
      </c>
      <c r="D73" s="6" t="s">
        <v>63</v>
      </c>
      <c r="E73" s="6" t="s">
        <v>209</v>
      </c>
      <c r="F73" s="6" t="s">
        <v>210</v>
      </c>
      <c r="G73" s="7">
        <v>153.11999999999998</v>
      </c>
      <c r="H73" s="6" t="s">
        <v>214</v>
      </c>
      <c r="I73" s="6" t="s">
        <v>48</v>
      </c>
      <c r="J73" s="8">
        <v>25.0</v>
      </c>
      <c r="K73" s="6" t="s">
        <v>53</v>
      </c>
      <c r="L73" s="6" t="s">
        <v>56</v>
      </c>
      <c r="M73" s="6" t="s">
        <v>57</v>
      </c>
      <c r="N73" s="6" t="s">
        <v>58</v>
      </c>
      <c r="O73" s="6" t="s">
        <v>212</v>
      </c>
      <c r="P73" s="8" t="s">
        <v>215</v>
      </c>
      <c r="Q73" s="6" t="s">
        <v>46</v>
      </c>
      <c r="R73" s="6" t="s">
        <v>48</v>
      </c>
      <c r="S73" s="6" t="s">
        <v>48</v>
      </c>
      <c r="T73" s="6" t="s">
        <v>52</v>
      </c>
      <c r="U73" s="5"/>
      <c r="V73" s="5"/>
      <c r="W73" s="5"/>
      <c r="X73" s="5"/>
      <c r="Y73" s="5"/>
      <c r="Z73" s="5"/>
    </row>
    <row r="74" ht="15.75" customHeight="1">
      <c r="A74" s="6" t="s">
        <v>199</v>
      </c>
      <c r="B74" s="6" t="s">
        <v>208</v>
      </c>
      <c r="C74" s="6" t="s">
        <v>53</v>
      </c>
      <c r="D74" s="6" t="s">
        <v>54</v>
      </c>
      <c r="E74" s="6" t="s">
        <v>209</v>
      </c>
      <c r="F74" s="6" t="s">
        <v>210</v>
      </c>
      <c r="G74" s="7">
        <v>204.16</v>
      </c>
      <c r="H74" s="6" t="s">
        <v>216</v>
      </c>
      <c r="I74" s="6" t="s">
        <v>48</v>
      </c>
      <c r="J74" s="8">
        <v>27.0</v>
      </c>
      <c r="K74" s="6" t="s">
        <v>53</v>
      </c>
      <c r="L74" s="6" t="s">
        <v>56</v>
      </c>
      <c r="M74" s="6" t="s">
        <v>57</v>
      </c>
      <c r="N74" s="6" t="s">
        <v>58</v>
      </c>
      <c r="O74" s="6" t="s">
        <v>212</v>
      </c>
      <c r="P74" s="8" t="s">
        <v>217</v>
      </c>
      <c r="Q74" s="6" t="s">
        <v>46</v>
      </c>
      <c r="R74" s="6" t="s">
        <v>48</v>
      </c>
      <c r="S74" s="6" t="s">
        <v>48</v>
      </c>
      <c r="T74" s="6" t="s">
        <v>52</v>
      </c>
      <c r="U74" s="5"/>
      <c r="V74" s="5"/>
      <c r="W74" s="5"/>
      <c r="X74" s="5"/>
      <c r="Y74" s="5"/>
      <c r="Z74" s="5"/>
    </row>
    <row r="75" ht="15.75" customHeight="1">
      <c r="A75" s="6" t="s">
        <v>199</v>
      </c>
      <c r="B75" s="6" t="s">
        <v>208</v>
      </c>
      <c r="C75" s="6" t="s">
        <v>62</v>
      </c>
      <c r="D75" s="6" t="s">
        <v>63</v>
      </c>
      <c r="E75" s="6" t="s">
        <v>209</v>
      </c>
      <c r="F75" s="6" t="s">
        <v>210</v>
      </c>
      <c r="G75" s="7">
        <v>83.52</v>
      </c>
      <c r="H75" s="6" t="s">
        <v>218</v>
      </c>
      <c r="I75" s="6" t="s">
        <v>48</v>
      </c>
      <c r="J75" s="8">
        <v>17.0</v>
      </c>
      <c r="K75" s="6" t="s">
        <v>62</v>
      </c>
      <c r="L75" s="6" t="s">
        <v>65</v>
      </c>
      <c r="M75" s="6" t="s">
        <v>66</v>
      </c>
      <c r="N75" s="6" t="s">
        <v>58</v>
      </c>
      <c r="O75" s="6" t="s">
        <v>212</v>
      </c>
      <c r="P75" s="8" t="s">
        <v>215</v>
      </c>
      <c r="Q75" s="6" t="s">
        <v>46</v>
      </c>
      <c r="R75" s="6" t="s">
        <v>48</v>
      </c>
      <c r="S75" s="6" t="s">
        <v>48</v>
      </c>
      <c r="T75" s="6" t="s">
        <v>52</v>
      </c>
      <c r="U75" s="5"/>
      <c r="V75" s="5"/>
      <c r="W75" s="5"/>
      <c r="X75" s="5"/>
      <c r="Y75" s="5"/>
      <c r="Z75" s="5"/>
    </row>
    <row r="76" ht="15.75" customHeight="1">
      <c r="A76" s="6" t="s">
        <v>199</v>
      </c>
      <c r="B76" s="6" t="s">
        <v>208</v>
      </c>
      <c r="C76" s="6" t="s">
        <v>62</v>
      </c>
      <c r="D76" s="6" t="s">
        <v>54</v>
      </c>
      <c r="E76" s="6" t="s">
        <v>209</v>
      </c>
      <c r="F76" s="6" t="s">
        <v>210</v>
      </c>
      <c r="G76" s="7">
        <v>109.03999999999999</v>
      </c>
      <c r="H76" s="6" t="s">
        <v>219</v>
      </c>
      <c r="I76" s="6" t="s">
        <v>48</v>
      </c>
      <c r="J76" s="8">
        <v>20.0</v>
      </c>
      <c r="K76" s="6" t="s">
        <v>62</v>
      </c>
      <c r="L76" s="6" t="s">
        <v>69</v>
      </c>
      <c r="M76" s="6" t="s">
        <v>70</v>
      </c>
      <c r="N76" s="6" t="s">
        <v>58</v>
      </c>
      <c r="O76" s="6" t="s">
        <v>212</v>
      </c>
      <c r="P76" s="8" t="s">
        <v>217</v>
      </c>
      <c r="Q76" s="6" t="s">
        <v>46</v>
      </c>
      <c r="R76" s="6" t="s">
        <v>48</v>
      </c>
      <c r="S76" s="6" t="s">
        <v>48</v>
      </c>
      <c r="T76" s="6" t="s">
        <v>52</v>
      </c>
      <c r="U76" s="5"/>
      <c r="V76" s="5"/>
      <c r="W76" s="5"/>
      <c r="X76" s="5"/>
      <c r="Y76" s="5"/>
      <c r="Z76" s="5"/>
    </row>
    <row r="77" ht="15.75" customHeight="1">
      <c r="A77" s="6" t="s">
        <v>199</v>
      </c>
      <c r="B77" s="6" t="s">
        <v>208</v>
      </c>
      <c r="C77" s="6" t="s">
        <v>72</v>
      </c>
      <c r="D77" s="6" t="s">
        <v>63</v>
      </c>
      <c r="E77" s="6" t="s">
        <v>209</v>
      </c>
      <c r="F77" s="6" t="s">
        <v>210</v>
      </c>
      <c r="G77" s="7">
        <v>83.52</v>
      </c>
      <c r="H77" s="6" t="s">
        <v>220</v>
      </c>
      <c r="I77" s="6" t="s">
        <v>48</v>
      </c>
      <c r="J77" s="8">
        <v>22.0</v>
      </c>
      <c r="K77" s="6" t="s">
        <v>74</v>
      </c>
      <c r="L77" s="6" t="s">
        <v>75</v>
      </c>
      <c r="M77" s="6" t="s">
        <v>76</v>
      </c>
      <c r="N77" s="6" t="s">
        <v>58</v>
      </c>
      <c r="O77" s="6" t="s">
        <v>212</v>
      </c>
      <c r="P77" s="8" t="s">
        <v>215</v>
      </c>
      <c r="Q77" s="6" t="s">
        <v>46</v>
      </c>
      <c r="R77" s="6" t="s">
        <v>48</v>
      </c>
      <c r="S77" s="6" t="s">
        <v>48</v>
      </c>
      <c r="T77" s="6" t="s">
        <v>77</v>
      </c>
      <c r="U77" s="5"/>
      <c r="V77" s="5"/>
      <c r="W77" s="5"/>
      <c r="X77" s="5"/>
      <c r="Y77" s="5"/>
      <c r="Z77" s="5"/>
    </row>
    <row r="78" ht="15.75" customHeight="1">
      <c r="A78" s="6" t="s">
        <v>199</v>
      </c>
      <c r="B78" s="6" t="s">
        <v>221</v>
      </c>
      <c r="C78" s="6" t="s">
        <v>26</v>
      </c>
      <c r="D78" s="6" t="s">
        <v>63</v>
      </c>
      <c r="E78" s="6" t="s">
        <v>222</v>
      </c>
      <c r="F78" s="6" t="s">
        <v>223</v>
      </c>
      <c r="G78" s="7">
        <v>102.08</v>
      </c>
      <c r="H78" s="6" t="s">
        <v>224</v>
      </c>
      <c r="I78" s="6" t="s">
        <v>37</v>
      </c>
      <c r="J78" s="8">
        <v>50.0</v>
      </c>
      <c r="K78" s="6" t="s">
        <v>40</v>
      </c>
      <c r="L78" s="6" t="s">
        <v>42</v>
      </c>
      <c r="M78" s="6" t="s">
        <v>44</v>
      </c>
      <c r="N78" s="6" t="s">
        <v>41</v>
      </c>
      <c r="O78" s="6" t="s">
        <v>225</v>
      </c>
      <c r="P78" s="8" t="s">
        <v>226</v>
      </c>
      <c r="Q78" s="6" t="s">
        <v>46</v>
      </c>
      <c r="R78" s="6" t="s">
        <v>48</v>
      </c>
      <c r="S78" s="6" t="s">
        <v>48</v>
      </c>
      <c r="T78" s="6" t="s">
        <v>52</v>
      </c>
      <c r="U78" s="5"/>
      <c r="V78" s="5"/>
      <c r="W78" s="5"/>
      <c r="X78" s="5"/>
      <c r="Y78" s="5"/>
      <c r="Z78" s="5"/>
    </row>
    <row r="79" ht="15.75" customHeight="1">
      <c r="A79" s="6" t="s">
        <v>199</v>
      </c>
      <c r="B79" s="6" t="s">
        <v>221</v>
      </c>
      <c r="C79" s="6" t="s">
        <v>26</v>
      </c>
      <c r="D79" s="6" t="s">
        <v>54</v>
      </c>
      <c r="E79" s="6" t="s">
        <v>222</v>
      </c>
      <c r="F79" s="6" t="s">
        <v>223</v>
      </c>
      <c r="G79" s="7">
        <v>121.8</v>
      </c>
      <c r="H79" s="6" t="s">
        <v>227</v>
      </c>
      <c r="I79" s="6" t="s">
        <v>37</v>
      </c>
      <c r="J79" s="8">
        <v>51.0</v>
      </c>
      <c r="K79" s="6" t="s">
        <v>40</v>
      </c>
      <c r="L79" s="6" t="s">
        <v>42</v>
      </c>
      <c r="M79" s="6" t="s">
        <v>44</v>
      </c>
      <c r="N79" s="6" t="s">
        <v>41</v>
      </c>
      <c r="O79" s="6" t="s">
        <v>225</v>
      </c>
      <c r="P79" s="8" t="s">
        <v>228</v>
      </c>
      <c r="Q79" s="6" t="s">
        <v>46</v>
      </c>
      <c r="R79" s="6" t="s">
        <v>48</v>
      </c>
      <c r="S79" s="6" t="s">
        <v>48</v>
      </c>
      <c r="T79" s="6" t="s">
        <v>52</v>
      </c>
      <c r="U79" s="5"/>
      <c r="V79" s="5"/>
      <c r="W79" s="5"/>
      <c r="X79" s="5"/>
      <c r="Y79" s="5"/>
      <c r="Z79" s="5"/>
    </row>
    <row r="80" ht="15.75" customHeight="1">
      <c r="A80" s="6" t="s">
        <v>199</v>
      </c>
      <c r="B80" s="6" t="s">
        <v>221</v>
      </c>
      <c r="C80" s="6" t="s">
        <v>26</v>
      </c>
      <c r="D80" s="6" t="s">
        <v>27</v>
      </c>
      <c r="E80" s="6" t="s">
        <v>222</v>
      </c>
      <c r="F80" s="6" t="s">
        <v>223</v>
      </c>
      <c r="G80" s="7">
        <v>140.35999999999999</v>
      </c>
      <c r="H80" s="6" t="s">
        <v>229</v>
      </c>
      <c r="I80" s="6" t="s">
        <v>37</v>
      </c>
      <c r="J80" s="8">
        <v>52.0</v>
      </c>
      <c r="K80" s="6" t="s">
        <v>40</v>
      </c>
      <c r="L80" s="6" t="s">
        <v>42</v>
      </c>
      <c r="M80" s="6" t="s">
        <v>44</v>
      </c>
      <c r="N80" s="6" t="s">
        <v>41</v>
      </c>
      <c r="O80" s="6" t="s">
        <v>225</v>
      </c>
      <c r="P80" s="8" t="s">
        <v>230</v>
      </c>
      <c r="Q80" s="6" t="s">
        <v>46</v>
      </c>
      <c r="R80" s="6" t="s">
        <v>48</v>
      </c>
      <c r="S80" s="6" t="s">
        <v>48</v>
      </c>
      <c r="T80" s="6" t="s">
        <v>52</v>
      </c>
      <c r="U80" s="5"/>
      <c r="V80" s="5"/>
      <c r="W80" s="5"/>
      <c r="X80" s="5"/>
      <c r="Y80" s="5"/>
      <c r="Z80" s="5"/>
    </row>
    <row r="81" ht="15.75" customHeight="1">
      <c r="A81" s="6" t="s">
        <v>199</v>
      </c>
      <c r="B81" s="6" t="s">
        <v>221</v>
      </c>
      <c r="C81" s="6" t="s">
        <v>53</v>
      </c>
      <c r="D81" s="6" t="s">
        <v>54</v>
      </c>
      <c r="E81" s="6" t="s">
        <v>222</v>
      </c>
      <c r="F81" s="6" t="s">
        <v>223</v>
      </c>
      <c r="G81" s="7">
        <v>191.39999999999998</v>
      </c>
      <c r="H81" s="6" t="s">
        <v>231</v>
      </c>
      <c r="I81" s="6" t="s">
        <v>48</v>
      </c>
      <c r="J81" s="8">
        <v>59.0</v>
      </c>
      <c r="K81" s="6" t="s">
        <v>53</v>
      </c>
      <c r="L81" s="6" t="s">
        <v>56</v>
      </c>
      <c r="M81" s="6" t="s">
        <v>57</v>
      </c>
      <c r="N81" s="6" t="s">
        <v>58</v>
      </c>
      <c r="O81" s="6" t="s">
        <v>225</v>
      </c>
      <c r="P81" s="8" t="s">
        <v>232</v>
      </c>
      <c r="Q81" s="6" t="s">
        <v>46</v>
      </c>
      <c r="R81" s="6" t="s">
        <v>48</v>
      </c>
      <c r="S81" s="6" t="s">
        <v>48</v>
      </c>
      <c r="T81" s="6" t="s">
        <v>52</v>
      </c>
      <c r="U81" s="5"/>
      <c r="V81" s="5"/>
      <c r="W81" s="5"/>
      <c r="X81" s="5"/>
      <c r="Y81" s="5"/>
      <c r="Z81" s="5"/>
    </row>
    <row r="82" ht="15.75" customHeight="1">
      <c r="A82" s="6" t="s">
        <v>199</v>
      </c>
      <c r="B82" s="6" t="s">
        <v>221</v>
      </c>
      <c r="C82" s="6" t="s">
        <v>53</v>
      </c>
      <c r="D82" s="6" t="s">
        <v>27</v>
      </c>
      <c r="E82" s="6" t="s">
        <v>222</v>
      </c>
      <c r="F82" s="6" t="s">
        <v>223</v>
      </c>
      <c r="G82" s="7">
        <v>223.88</v>
      </c>
      <c r="H82" s="6" t="s">
        <v>233</v>
      </c>
      <c r="I82" s="6" t="s">
        <v>48</v>
      </c>
      <c r="J82" s="8">
        <v>60.0</v>
      </c>
      <c r="K82" s="6" t="s">
        <v>53</v>
      </c>
      <c r="L82" s="6" t="s">
        <v>56</v>
      </c>
      <c r="M82" s="6" t="s">
        <v>57</v>
      </c>
      <c r="N82" s="6" t="s">
        <v>58</v>
      </c>
      <c r="O82" s="6" t="s">
        <v>225</v>
      </c>
      <c r="P82" s="8" t="s">
        <v>234</v>
      </c>
      <c r="Q82" s="6" t="s">
        <v>46</v>
      </c>
      <c r="R82" s="6" t="s">
        <v>48</v>
      </c>
      <c r="S82" s="6" t="s">
        <v>48</v>
      </c>
      <c r="T82" s="6" t="s">
        <v>52</v>
      </c>
      <c r="U82" s="5"/>
      <c r="V82" s="5"/>
      <c r="W82" s="5"/>
      <c r="X82" s="5"/>
      <c r="Y82" s="5"/>
      <c r="Z82" s="5"/>
    </row>
    <row r="83" ht="15.75" customHeight="1">
      <c r="A83" s="6" t="s">
        <v>199</v>
      </c>
      <c r="B83" s="6" t="s">
        <v>221</v>
      </c>
      <c r="C83" s="6" t="s">
        <v>62</v>
      </c>
      <c r="D83" s="6" t="s">
        <v>63</v>
      </c>
      <c r="E83" s="6" t="s">
        <v>222</v>
      </c>
      <c r="F83" s="6" t="s">
        <v>223</v>
      </c>
      <c r="G83" s="7">
        <v>83.52</v>
      </c>
      <c r="H83" s="6" t="s">
        <v>135</v>
      </c>
      <c r="I83" s="6" t="s">
        <v>48</v>
      </c>
      <c r="J83" s="8">
        <v>40.0</v>
      </c>
      <c r="K83" s="6" t="s">
        <v>62</v>
      </c>
      <c r="L83" s="6" t="s">
        <v>65</v>
      </c>
      <c r="M83" s="6" t="s">
        <v>66</v>
      </c>
      <c r="N83" s="6" t="s">
        <v>58</v>
      </c>
      <c r="O83" s="6" t="s">
        <v>225</v>
      </c>
      <c r="P83" s="8" t="s">
        <v>235</v>
      </c>
      <c r="Q83" s="6" t="s">
        <v>46</v>
      </c>
      <c r="R83" s="6" t="s">
        <v>48</v>
      </c>
      <c r="S83" s="6" t="s">
        <v>48</v>
      </c>
      <c r="T83" s="6" t="s">
        <v>52</v>
      </c>
      <c r="U83" s="5"/>
      <c r="V83" s="5"/>
      <c r="W83" s="5"/>
      <c r="X83" s="5"/>
      <c r="Y83" s="5"/>
      <c r="Z83" s="5"/>
    </row>
    <row r="84" ht="15.75" customHeight="1">
      <c r="A84" s="6" t="s">
        <v>199</v>
      </c>
      <c r="B84" s="6" t="s">
        <v>221</v>
      </c>
      <c r="C84" s="6" t="s">
        <v>62</v>
      </c>
      <c r="D84" s="6" t="s">
        <v>54</v>
      </c>
      <c r="E84" s="6" t="s">
        <v>222</v>
      </c>
      <c r="F84" s="6" t="s">
        <v>223</v>
      </c>
      <c r="G84" s="7">
        <v>109.03999999999999</v>
      </c>
      <c r="H84" s="6" t="s">
        <v>175</v>
      </c>
      <c r="I84" s="6" t="s">
        <v>48</v>
      </c>
      <c r="J84" s="8">
        <v>41.0</v>
      </c>
      <c r="K84" s="6" t="s">
        <v>62</v>
      </c>
      <c r="L84" s="6" t="s">
        <v>69</v>
      </c>
      <c r="M84" s="6" t="s">
        <v>70</v>
      </c>
      <c r="N84" s="6" t="s">
        <v>58</v>
      </c>
      <c r="O84" s="6" t="s">
        <v>225</v>
      </c>
      <c r="P84" s="8" t="s">
        <v>232</v>
      </c>
      <c r="Q84" s="6" t="s">
        <v>46</v>
      </c>
      <c r="R84" s="6" t="s">
        <v>48</v>
      </c>
      <c r="S84" s="6" t="s">
        <v>48</v>
      </c>
      <c r="T84" s="6" t="s">
        <v>52</v>
      </c>
      <c r="U84" s="5"/>
      <c r="V84" s="5"/>
      <c r="W84" s="5"/>
      <c r="X84" s="5"/>
      <c r="Y84" s="5"/>
      <c r="Z84" s="5"/>
    </row>
    <row r="85" ht="15.75" customHeight="1">
      <c r="A85" s="6" t="s">
        <v>199</v>
      </c>
      <c r="B85" s="6" t="s">
        <v>221</v>
      </c>
      <c r="C85" s="6" t="s">
        <v>62</v>
      </c>
      <c r="D85" s="6" t="s">
        <v>27</v>
      </c>
      <c r="E85" s="6" t="s">
        <v>222</v>
      </c>
      <c r="F85" s="6" t="s">
        <v>223</v>
      </c>
      <c r="G85" s="7">
        <v>121.8</v>
      </c>
      <c r="H85" s="6" t="s">
        <v>236</v>
      </c>
      <c r="I85" s="6" t="s">
        <v>48</v>
      </c>
      <c r="J85" s="8">
        <v>42.0</v>
      </c>
      <c r="K85" s="6" t="s">
        <v>62</v>
      </c>
      <c r="L85" s="6" t="s">
        <v>69</v>
      </c>
      <c r="M85" s="6" t="s">
        <v>70</v>
      </c>
      <c r="N85" s="6" t="s">
        <v>58</v>
      </c>
      <c r="O85" s="6" t="s">
        <v>225</v>
      </c>
      <c r="P85" s="8" t="s">
        <v>234</v>
      </c>
      <c r="Q85" s="6" t="s">
        <v>46</v>
      </c>
      <c r="R85" s="6" t="s">
        <v>48</v>
      </c>
      <c r="S85" s="6" t="s">
        <v>48</v>
      </c>
      <c r="T85" s="6" t="s">
        <v>52</v>
      </c>
      <c r="U85" s="5"/>
      <c r="V85" s="5"/>
      <c r="W85" s="5"/>
      <c r="X85" s="5"/>
      <c r="Y85" s="5"/>
      <c r="Z85" s="5"/>
    </row>
    <row r="86" ht="15.75" customHeight="1">
      <c r="A86" s="6" t="s">
        <v>199</v>
      </c>
      <c r="B86" s="6" t="s">
        <v>221</v>
      </c>
      <c r="C86" s="6" t="s">
        <v>72</v>
      </c>
      <c r="D86" s="6" t="s">
        <v>63</v>
      </c>
      <c r="E86" s="6" t="s">
        <v>222</v>
      </c>
      <c r="F86" s="6" t="s">
        <v>223</v>
      </c>
      <c r="G86" s="7">
        <v>83.52</v>
      </c>
      <c r="H86" s="6" t="s">
        <v>237</v>
      </c>
      <c r="I86" s="6" t="s">
        <v>48</v>
      </c>
      <c r="J86" s="8">
        <v>1897.0</v>
      </c>
      <c r="K86" s="6" t="s">
        <v>74</v>
      </c>
      <c r="L86" s="6" t="s">
        <v>75</v>
      </c>
      <c r="M86" s="6" t="s">
        <v>76</v>
      </c>
      <c r="N86" s="6" t="s">
        <v>58</v>
      </c>
      <c r="O86" s="6" t="s">
        <v>225</v>
      </c>
      <c r="P86" s="8" t="s">
        <v>235</v>
      </c>
      <c r="Q86" s="6" t="s">
        <v>46</v>
      </c>
      <c r="R86" s="6" t="s">
        <v>48</v>
      </c>
      <c r="S86" s="6" t="s">
        <v>48</v>
      </c>
      <c r="T86" s="6" t="s">
        <v>77</v>
      </c>
      <c r="U86" s="5"/>
      <c r="V86" s="5"/>
      <c r="W86" s="5"/>
      <c r="X86" s="5"/>
      <c r="Y86" s="5"/>
      <c r="Z86" s="5"/>
    </row>
    <row r="87" ht="15.75" customHeight="1">
      <c r="A87" s="6" t="s">
        <v>199</v>
      </c>
      <c r="B87" s="6" t="s">
        <v>221</v>
      </c>
      <c r="C87" s="6" t="s">
        <v>72</v>
      </c>
      <c r="D87" s="6" t="s">
        <v>54</v>
      </c>
      <c r="E87" s="6" t="s">
        <v>222</v>
      </c>
      <c r="F87" s="6" t="s">
        <v>223</v>
      </c>
      <c r="G87" s="7">
        <v>109.03999999999999</v>
      </c>
      <c r="H87" s="6" t="s">
        <v>238</v>
      </c>
      <c r="I87" s="6" t="s">
        <v>48</v>
      </c>
      <c r="J87" s="8">
        <v>4601.0</v>
      </c>
      <c r="K87" s="6" t="s">
        <v>74</v>
      </c>
      <c r="L87" s="6" t="s">
        <v>75</v>
      </c>
      <c r="M87" s="6" t="s">
        <v>76</v>
      </c>
      <c r="N87" s="6" t="s">
        <v>58</v>
      </c>
      <c r="O87" s="6" t="s">
        <v>225</v>
      </c>
      <c r="P87" s="8" t="s">
        <v>232</v>
      </c>
      <c r="Q87" s="6" t="s">
        <v>46</v>
      </c>
      <c r="R87" s="6" t="s">
        <v>48</v>
      </c>
      <c r="S87" s="6" t="s">
        <v>48</v>
      </c>
      <c r="T87" s="6" t="s">
        <v>77</v>
      </c>
      <c r="U87" s="5"/>
      <c r="V87" s="5"/>
      <c r="W87" s="5"/>
      <c r="X87" s="5"/>
      <c r="Y87" s="5"/>
      <c r="Z87" s="5"/>
    </row>
    <row r="88" ht="15.75" customHeight="1">
      <c r="A88" s="6" t="s">
        <v>199</v>
      </c>
      <c r="B88" s="6" t="s">
        <v>221</v>
      </c>
      <c r="C88" s="6" t="s">
        <v>72</v>
      </c>
      <c r="D88" s="6" t="s">
        <v>27</v>
      </c>
      <c r="E88" s="6" t="s">
        <v>222</v>
      </c>
      <c r="F88" s="6" t="s">
        <v>223</v>
      </c>
      <c r="G88" s="7">
        <v>121.8</v>
      </c>
      <c r="H88" s="6" t="s">
        <v>239</v>
      </c>
      <c r="I88" s="6" t="s">
        <v>48</v>
      </c>
      <c r="J88" s="8">
        <v>4602.0</v>
      </c>
      <c r="K88" s="6" t="s">
        <v>74</v>
      </c>
      <c r="L88" s="6" t="s">
        <v>75</v>
      </c>
      <c r="M88" s="6" t="s">
        <v>76</v>
      </c>
      <c r="N88" s="6" t="s">
        <v>58</v>
      </c>
      <c r="O88" s="6" t="s">
        <v>225</v>
      </c>
      <c r="P88" s="8" t="s">
        <v>234</v>
      </c>
      <c r="Q88" s="6" t="s">
        <v>46</v>
      </c>
      <c r="R88" s="6" t="s">
        <v>48</v>
      </c>
      <c r="S88" s="6" t="s">
        <v>48</v>
      </c>
      <c r="T88" s="6" t="s">
        <v>77</v>
      </c>
      <c r="U88" s="5"/>
      <c r="V88" s="5"/>
      <c r="W88" s="5"/>
      <c r="X88" s="5"/>
      <c r="Y88" s="5"/>
      <c r="Z88" s="5"/>
    </row>
    <row r="89" ht="15.75" customHeight="1">
      <c r="A89" s="6" t="s">
        <v>199</v>
      </c>
      <c r="B89" s="6" t="s">
        <v>240</v>
      </c>
      <c r="C89" s="6" t="s">
        <v>26</v>
      </c>
      <c r="D89" s="6" t="s">
        <v>63</v>
      </c>
      <c r="E89" s="6" t="s">
        <v>241</v>
      </c>
      <c r="F89" s="6" t="s">
        <v>242</v>
      </c>
      <c r="G89" s="7">
        <v>102.08</v>
      </c>
      <c r="H89" s="6" t="s">
        <v>243</v>
      </c>
      <c r="I89" s="6" t="s">
        <v>37</v>
      </c>
      <c r="J89" s="8">
        <v>134.0</v>
      </c>
      <c r="K89" s="6" t="s">
        <v>40</v>
      </c>
      <c r="L89" s="6" t="s">
        <v>42</v>
      </c>
      <c r="M89" s="6" t="s">
        <v>44</v>
      </c>
      <c r="N89" s="6" t="s">
        <v>41</v>
      </c>
      <c r="O89" s="6" t="s">
        <v>244</v>
      </c>
      <c r="P89" s="8" t="s">
        <v>245</v>
      </c>
      <c r="Q89" s="6" t="s">
        <v>46</v>
      </c>
      <c r="R89" s="6" t="s">
        <v>48</v>
      </c>
      <c r="S89" s="6" t="s">
        <v>48</v>
      </c>
      <c r="T89" s="6" t="s">
        <v>52</v>
      </c>
      <c r="U89" s="5"/>
      <c r="V89" s="5"/>
      <c r="W89" s="5"/>
      <c r="X89" s="5"/>
      <c r="Y89" s="5"/>
      <c r="Z89" s="5"/>
    </row>
    <row r="90" ht="15.75" customHeight="1">
      <c r="A90" s="6" t="s">
        <v>199</v>
      </c>
      <c r="B90" s="6" t="s">
        <v>240</v>
      </c>
      <c r="C90" s="6" t="s">
        <v>26</v>
      </c>
      <c r="D90" s="6" t="s">
        <v>54</v>
      </c>
      <c r="E90" s="6" t="s">
        <v>241</v>
      </c>
      <c r="F90" s="6" t="s">
        <v>242</v>
      </c>
      <c r="G90" s="7">
        <v>121.8</v>
      </c>
      <c r="H90" s="6" t="s">
        <v>246</v>
      </c>
      <c r="I90" s="6" t="s">
        <v>37</v>
      </c>
      <c r="J90" s="8">
        <v>135.0</v>
      </c>
      <c r="K90" s="6" t="s">
        <v>40</v>
      </c>
      <c r="L90" s="6" t="s">
        <v>42</v>
      </c>
      <c r="M90" s="6" t="s">
        <v>44</v>
      </c>
      <c r="N90" s="6" t="s">
        <v>41</v>
      </c>
      <c r="O90" s="6" t="s">
        <v>244</v>
      </c>
      <c r="P90" s="8" t="s">
        <v>247</v>
      </c>
      <c r="Q90" s="6" t="s">
        <v>46</v>
      </c>
      <c r="R90" s="6" t="s">
        <v>48</v>
      </c>
      <c r="S90" s="6" t="s">
        <v>48</v>
      </c>
      <c r="T90" s="6" t="s">
        <v>52</v>
      </c>
      <c r="U90" s="5"/>
      <c r="V90" s="5"/>
      <c r="W90" s="5"/>
      <c r="X90" s="5"/>
      <c r="Y90" s="5"/>
      <c r="Z90" s="5"/>
    </row>
    <row r="91" ht="15.75" customHeight="1">
      <c r="A91" s="6" t="s">
        <v>199</v>
      </c>
      <c r="B91" s="6" t="s">
        <v>240</v>
      </c>
      <c r="C91" s="6" t="s">
        <v>26</v>
      </c>
      <c r="D91" s="6" t="s">
        <v>27</v>
      </c>
      <c r="E91" s="6" t="s">
        <v>241</v>
      </c>
      <c r="F91" s="6" t="s">
        <v>242</v>
      </c>
      <c r="G91" s="7">
        <v>140.35999999999999</v>
      </c>
      <c r="H91" s="6" t="s">
        <v>248</v>
      </c>
      <c r="I91" s="6" t="s">
        <v>37</v>
      </c>
      <c r="J91" s="8">
        <v>136.0</v>
      </c>
      <c r="K91" s="6" t="s">
        <v>40</v>
      </c>
      <c r="L91" s="6" t="s">
        <v>42</v>
      </c>
      <c r="M91" s="6" t="s">
        <v>44</v>
      </c>
      <c r="N91" s="6" t="s">
        <v>41</v>
      </c>
      <c r="O91" s="6" t="s">
        <v>244</v>
      </c>
      <c r="P91" s="8" t="s">
        <v>249</v>
      </c>
      <c r="Q91" s="6" t="s">
        <v>46</v>
      </c>
      <c r="R91" s="6" t="s">
        <v>48</v>
      </c>
      <c r="S91" s="6" t="s">
        <v>48</v>
      </c>
      <c r="T91" s="6" t="s">
        <v>52</v>
      </c>
      <c r="U91" s="5"/>
      <c r="V91" s="5"/>
      <c r="W91" s="5"/>
      <c r="X91" s="5"/>
      <c r="Y91" s="5"/>
      <c r="Z91" s="5"/>
    </row>
    <row r="92" ht="15.75" customHeight="1">
      <c r="A92" s="6" t="s">
        <v>199</v>
      </c>
      <c r="B92" s="6" t="s">
        <v>240</v>
      </c>
      <c r="C92" s="6" t="s">
        <v>26</v>
      </c>
      <c r="D92" s="6" t="s">
        <v>129</v>
      </c>
      <c r="E92" s="6" t="s">
        <v>241</v>
      </c>
      <c r="F92" s="6" t="s">
        <v>242</v>
      </c>
      <c r="G92" s="7">
        <v>165.88</v>
      </c>
      <c r="H92" s="6" t="s">
        <v>123</v>
      </c>
      <c r="I92" s="6" t="s">
        <v>37</v>
      </c>
      <c r="J92" s="8">
        <v>137.0</v>
      </c>
      <c r="K92" s="6" t="s">
        <v>40</v>
      </c>
      <c r="L92" s="6" t="s">
        <v>42</v>
      </c>
      <c r="M92" s="6" t="s">
        <v>44</v>
      </c>
      <c r="N92" s="6" t="s">
        <v>41</v>
      </c>
      <c r="O92" s="6" t="s">
        <v>244</v>
      </c>
      <c r="P92" s="8" t="s">
        <v>250</v>
      </c>
      <c r="Q92" s="6" t="s">
        <v>46</v>
      </c>
      <c r="R92" s="6" t="s">
        <v>48</v>
      </c>
      <c r="S92" s="6" t="s">
        <v>48</v>
      </c>
      <c r="T92" s="6" t="s">
        <v>52</v>
      </c>
      <c r="U92" s="5"/>
      <c r="V92" s="5"/>
      <c r="W92" s="5"/>
      <c r="X92" s="5"/>
      <c r="Y92" s="5"/>
      <c r="Z92" s="5"/>
    </row>
    <row r="93" ht="15.75" customHeight="1">
      <c r="A93" s="6" t="s">
        <v>199</v>
      </c>
      <c r="B93" s="6" t="s">
        <v>240</v>
      </c>
      <c r="C93" s="6" t="s">
        <v>53</v>
      </c>
      <c r="D93" s="6" t="s">
        <v>63</v>
      </c>
      <c r="E93" s="6" t="s">
        <v>241</v>
      </c>
      <c r="F93" s="6" t="s">
        <v>242</v>
      </c>
      <c r="G93" s="7">
        <v>153.11999999999998</v>
      </c>
      <c r="H93" s="6" t="s">
        <v>251</v>
      </c>
      <c r="I93" s="6" t="s">
        <v>48</v>
      </c>
      <c r="J93" s="8">
        <v>141.0</v>
      </c>
      <c r="K93" s="6" t="s">
        <v>53</v>
      </c>
      <c r="L93" s="6" t="s">
        <v>56</v>
      </c>
      <c r="M93" s="6" t="s">
        <v>57</v>
      </c>
      <c r="N93" s="6" t="s">
        <v>58</v>
      </c>
      <c r="O93" s="6" t="s">
        <v>244</v>
      </c>
      <c r="P93" s="8" t="s">
        <v>252</v>
      </c>
      <c r="Q93" s="6" t="s">
        <v>46</v>
      </c>
      <c r="R93" s="6" t="s">
        <v>48</v>
      </c>
      <c r="S93" s="6" t="s">
        <v>48</v>
      </c>
      <c r="T93" s="6" t="s">
        <v>52</v>
      </c>
      <c r="U93" s="5"/>
      <c r="V93" s="5"/>
      <c r="W93" s="5"/>
      <c r="X93" s="5"/>
      <c r="Y93" s="5"/>
      <c r="Z93" s="5"/>
    </row>
    <row r="94" ht="15.75" customHeight="1">
      <c r="A94" s="6" t="s">
        <v>199</v>
      </c>
      <c r="B94" s="6" t="s">
        <v>240</v>
      </c>
      <c r="C94" s="6" t="s">
        <v>53</v>
      </c>
      <c r="D94" s="6" t="s">
        <v>54</v>
      </c>
      <c r="E94" s="6" t="s">
        <v>241</v>
      </c>
      <c r="F94" s="6" t="s">
        <v>242</v>
      </c>
      <c r="G94" s="7">
        <v>191.39999999999998</v>
      </c>
      <c r="H94" s="6" t="s">
        <v>253</v>
      </c>
      <c r="I94" s="6" t="s">
        <v>48</v>
      </c>
      <c r="J94" s="8">
        <v>142.0</v>
      </c>
      <c r="K94" s="6" t="s">
        <v>53</v>
      </c>
      <c r="L94" s="6" t="s">
        <v>56</v>
      </c>
      <c r="M94" s="6" t="s">
        <v>57</v>
      </c>
      <c r="N94" s="6" t="s">
        <v>58</v>
      </c>
      <c r="O94" s="6" t="s">
        <v>244</v>
      </c>
      <c r="P94" s="8" t="s">
        <v>254</v>
      </c>
      <c r="Q94" s="6" t="s">
        <v>46</v>
      </c>
      <c r="R94" s="6" t="s">
        <v>48</v>
      </c>
      <c r="S94" s="6" t="s">
        <v>48</v>
      </c>
      <c r="T94" s="6" t="s">
        <v>52</v>
      </c>
      <c r="U94" s="5"/>
      <c r="V94" s="5"/>
      <c r="W94" s="5"/>
      <c r="X94" s="5"/>
      <c r="Y94" s="5"/>
      <c r="Z94" s="5"/>
    </row>
    <row r="95" ht="15.75" customHeight="1">
      <c r="A95" s="6" t="s">
        <v>199</v>
      </c>
      <c r="B95" s="6" t="s">
        <v>240</v>
      </c>
      <c r="C95" s="6" t="s">
        <v>53</v>
      </c>
      <c r="D95" s="6" t="s">
        <v>27</v>
      </c>
      <c r="E95" s="6" t="s">
        <v>241</v>
      </c>
      <c r="F95" s="6" t="s">
        <v>242</v>
      </c>
      <c r="G95" s="7">
        <v>223.88</v>
      </c>
      <c r="H95" s="6" t="s">
        <v>255</v>
      </c>
      <c r="I95" s="6" t="s">
        <v>48</v>
      </c>
      <c r="J95" s="8">
        <v>143.0</v>
      </c>
      <c r="K95" s="6" t="s">
        <v>53</v>
      </c>
      <c r="L95" s="6" t="s">
        <v>56</v>
      </c>
      <c r="M95" s="6" t="s">
        <v>57</v>
      </c>
      <c r="N95" s="6" t="s">
        <v>58</v>
      </c>
      <c r="O95" s="6" t="s">
        <v>244</v>
      </c>
      <c r="P95" s="8" t="s">
        <v>256</v>
      </c>
      <c r="Q95" s="6" t="s">
        <v>46</v>
      </c>
      <c r="R95" s="6" t="s">
        <v>48</v>
      </c>
      <c r="S95" s="6" t="s">
        <v>48</v>
      </c>
      <c r="T95" s="6" t="s">
        <v>52</v>
      </c>
      <c r="U95" s="5"/>
      <c r="V95" s="5"/>
      <c r="W95" s="5"/>
      <c r="X95" s="5"/>
      <c r="Y95" s="5"/>
      <c r="Z95" s="5"/>
    </row>
    <row r="96" ht="15.75" customHeight="1">
      <c r="A96" s="6" t="s">
        <v>199</v>
      </c>
      <c r="B96" s="6" t="s">
        <v>240</v>
      </c>
      <c r="C96" s="6" t="s">
        <v>53</v>
      </c>
      <c r="D96" s="6" t="s">
        <v>129</v>
      </c>
      <c r="E96" s="6" t="s">
        <v>241</v>
      </c>
      <c r="F96" s="6" t="s">
        <v>242</v>
      </c>
      <c r="G96" s="7">
        <v>319.0</v>
      </c>
      <c r="H96" s="6" t="s">
        <v>257</v>
      </c>
      <c r="I96" s="6" t="s">
        <v>48</v>
      </c>
      <c r="J96" s="8">
        <v>144.0</v>
      </c>
      <c r="K96" s="6" t="s">
        <v>53</v>
      </c>
      <c r="L96" s="6" t="s">
        <v>56</v>
      </c>
      <c r="M96" s="6" t="s">
        <v>57</v>
      </c>
      <c r="N96" s="6" t="s">
        <v>58</v>
      </c>
      <c r="O96" s="6" t="s">
        <v>244</v>
      </c>
      <c r="P96" s="8" t="s">
        <v>258</v>
      </c>
      <c r="Q96" s="6" t="s">
        <v>46</v>
      </c>
      <c r="R96" s="6" t="s">
        <v>48</v>
      </c>
      <c r="S96" s="6" t="s">
        <v>48</v>
      </c>
      <c r="T96" s="6" t="s">
        <v>52</v>
      </c>
      <c r="U96" s="5"/>
      <c r="V96" s="5"/>
      <c r="W96" s="5"/>
      <c r="X96" s="5"/>
      <c r="Y96" s="5"/>
      <c r="Z96" s="5"/>
    </row>
    <row r="97" ht="15.75" customHeight="1">
      <c r="A97" s="6" t="s">
        <v>199</v>
      </c>
      <c r="B97" s="6" t="s">
        <v>240</v>
      </c>
      <c r="C97" s="6" t="s">
        <v>62</v>
      </c>
      <c r="D97" s="6" t="s">
        <v>63</v>
      </c>
      <c r="E97" s="6" t="s">
        <v>241</v>
      </c>
      <c r="F97" s="6" t="s">
        <v>242</v>
      </c>
      <c r="G97" s="7">
        <v>83.52</v>
      </c>
      <c r="H97" s="6" t="s">
        <v>259</v>
      </c>
      <c r="I97" s="6" t="s">
        <v>48</v>
      </c>
      <c r="J97" s="8">
        <v>125.0</v>
      </c>
      <c r="K97" s="6" t="s">
        <v>62</v>
      </c>
      <c r="L97" s="6" t="s">
        <v>65</v>
      </c>
      <c r="M97" s="6" t="s">
        <v>66</v>
      </c>
      <c r="N97" s="6" t="s">
        <v>58</v>
      </c>
      <c r="O97" s="6" t="s">
        <v>244</v>
      </c>
      <c r="P97" s="8" t="s">
        <v>252</v>
      </c>
      <c r="Q97" s="6" t="s">
        <v>46</v>
      </c>
      <c r="R97" s="6" t="s">
        <v>48</v>
      </c>
      <c r="S97" s="6" t="s">
        <v>48</v>
      </c>
      <c r="T97" s="6" t="s">
        <v>52</v>
      </c>
      <c r="U97" s="5"/>
      <c r="V97" s="5"/>
      <c r="W97" s="5"/>
      <c r="X97" s="5"/>
      <c r="Y97" s="5"/>
      <c r="Z97" s="5"/>
    </row>
    <row r="98" ht="15.75" customHeight="1">
      <c r="A98" s="6" t="s">
        <v>199</v>
      </c>
      <c r="B98" s="6" t="s">
        <v>240</v>
      </c>
      <c r="C98" s="6" t="s">
        <v>62</v>
      </c>
      <c r="D98" s="6" t="s">
        <v>54</v>
      </c>
      <c r="E98" s="6" t="s">
        <v>241</v>
      </c>
      <c r="F98" s="6" t="s">
        <v>242</v>
      </c>
      <c r="G98" s="7">
        <v>109.03999999999999</v>
      </c>
      <c r="H98" s="6" t="s">
        <v>102</v>
      </c>
      <c r="I98" s="6" t="s">
        <v>48</v>
      </c>
      <c r="J98" s="8">
        <v>126.0</v>
      </c>
      <c r="K98" s="6" t="s">
        <v>62</v>
      </c>
      <c r="L98" s="6" t="s">
        <v>69</v>
      </c>
      <c r="M98" s="6" t="s">
        <v>70</v>
      </c>
      <c r="N98" s="6" t="s">
        <v>58</v>
      </c>
      <c r="O98" s="6" t="s">
        <v>244</v>
      </c>
      <c r="P98" s="8" t="s">
        <v>254</v>
      </c>
      <c r="Q98" s="6" t="s">
        <v>46</v>
      </c>
      <c r="R98" s="6" t="s">
        <v>48</v>
      </c>
      <c r="S98" s="6" t="s">
        <v>48</v>
      </c>
      <c r="T98" s="6" t="s">
        <v>52</v>
      </c>
      <c r="U98" s="5"/>
      <c r="V98" s="5"/>
      <c r="W98" s="5"/>
      <c r="X98" s="5"/>
      <c r="Y98" s="5"/>
      <c r="Z98" s="5"/>
    </row>
    <row r="99" ht="15.75" customHeight="1">
      <c r="A99" s="6" t="s">
        <v>199</v>
      </c>
      <c r="B99" s="6" t="s">
        <v>240</v>
      </c>
      <c r="C99" s="6" t="s">
        <v>62</v>
      </c>
      <c r="D99" s="6" t="s">
        <v>27</v>
      </c>
      <c r="E99" s="6" t="s">
        <v>241</v>
      </c>
      <c r="F99" s="6" t="s">
        <v>242</v>
      </c>
      <c r="G99" s="7">
        <v>121.8</v>
      </c>
      <c r="H99" s="6" t="s">
        <v>260</v>
      </c>
      <c r="I99" s="6" t="s">
        <v>48</v>
      </c>
      <c r="J99" s="8">
        <v>127.0</v>
      </c>
      <c r="K99" s="6" t="s">
        <v>62</v>
      </c>
      <c r="L99" s="6" t="s">
        <v>69</v>
      </c>
      <c r="M99" s="6" t="s">
        <v>70</v>
      </c>
      <c r="N99" s="6" t="s">
        <v>58</v>
      </c>
      <c r="O99" s="6" t="s">
        <v>244</v>
      </c>
      <c r="P99" s="8" t="s">
        <v>256</v>
      </c>
      <c r="Q99" s="6" t="s">
        <v>46</v>
      </c>
      <c r="R99" s="6" t="s">
        <v>48</v>
      </c>
      <c r="S99" s="6" t="s">
        <v>48</v>
      </c>
      <c r="T99" s="6" t="s">
        <v>52</v>
      </c>
      <c r="U99" s="5"/>
      <c r="V99" s="5"/>
      <c r="W99" s="5"/>
      <c r="X99" s="5"/>
      <c r="Y99" s="5"/>
      <c r="Z99" s="5"/>
    </row>
    <row r="100" ht="15.75" customHeight="1">
      <c r="A100" s="6" t="s">
        <v>199</v>
      </c>
      <c r="B100" s="6" t="s">
        <v>240</v>
      </c>
      <c r="C100" s="6" t="s">
        <v>62</v>
      </c>
      <c r="D100" s="6" t="s">
        <v>129</v>
      </c>
      <c r="E100" s="6" t="s">
        <v>241</v>
      </c>
      <c r="F100" s="6" t="s">
        <v>242</v>
      </c>
      <c r="G100" s="7">
        <v>140.35999999999999</v>
      </c>
      <c r="H100" s="6" t="s">
        <v>64</v>
      </c>
      <c r="I100" s="6" t="s">
        <v>48</v>
      </c>
      <c r="J100" s="8">
        <v>128.0</v>
      </c>
      <c r="K100" s="6" t="s">
        <v>62</v>
      </c>
      <c r="L100" s="6" t="s">
        <v>69</v>
      </c>
      <c r="M100" s="6" t="s">
        <v>70</v>
      </c>
      <c r="N100" s="6" t="s">
        <v>58</v>
      </c>
      <c r="O100" s="6" t="s">
        <v>244</v>
      </c>
      <c r="P100" s="8" t="s">
        <v>261</v>
      </c>
      <c r="Q100" s="6" t="s">
        <v>46</v>
      </c>
      <c r="R100" s="6" t="s">
        <v>48</v>
      </c>
      <c r="S100" s="6" t="s">
        <v>48</v>
      </c>
      <c r="T100" s="6" t="s">
        <v>52</v>
      </c>
      <c r="U100" s="5"/>
      <c r="V100" s="5"/>
      <c r="W100" s="5"/>
      <c r="X100" s="5"/>
      <c r="Y100" s="5"/>
      <c r="Z100" s="5"/>
    </row>
    <row r="101" ht="15.75" customHeight="1">
      <c r="A101" s="6" t="s">
        <v>199</v>
      </c>
      <c r="B101" s="6" t="s">
        <v>240</v>
      </c>
      <c r="C101" s="6" t="s">
        <v>72</v>
      </c>
      <c r="D101" s="6" t="s">
        <v>63</v>
      </c>
      <c r="E101" s="6" t="s">
        <v>241</v>
      </c>
      <c r="F101" s="6" t="s">
        <v>242</v>
      </c>
      <c r="G101" s="7">
        <v>83.52</v>
      </c>
      <c r="H101" s="6" t="s">
        <v>262</v>
      </c>
      <c r="I101" s="6" t="s">
        <v>48</v>
      </c>
      <c r="J101" s="8">
        <v>1912.0</v>
      </c>
      <c r="K101" s="6" t="s">
        <v>74</v>
      </c>
      <c r="L101" s="6" t="s">
        <v>75</v>
      </c>
      <c r="M101" s="6" t="s">
        <v>76</v>
      </c>
      <c r="N101" s="6" t="s">
        <v>58</v>
      </c>
      <c r="O101" s="6" t="s">
        <v>244</v>
      </c>
      <c r="P101" s="8" t="s">
        <v>252</v>
      </c>
      <c r="Q101" s="6" t="s">
        <v>46</v>
      </c>
      <c r="R101" s="6" t="s">
        <v>48</v>
      </c>
      <c r="S101" s="6" t="s">
        <v>48</v>
      </c>
      <c r="T101" s="6" t="s">
        <v>77</v>
      </c>
      <c r="U101" s="5"/>
      <c r="V101" s="5"/>
      <c r="W101" s="5"/>
      <c r="X101" s="5"/>
      <c r="Y101" s="5"/>
      <c r="Z101" s="5"/>
    </row>
    <row r="102" ht="15.75" customHeight="1">
      <c r="A102" s="6" t="s">
        <v>199</v>
      </c>
      <c r="B102" s="6" t="s">
        <v>240</v>
      </c>
      <c r="C102" s="6" t="s">
        <v>72</v>
      </c>
      <c r="D102" s="6" t="s">
        <v>54</v>
      </c>
      <c r="E102" s="6" t="s">
        <v>241</v>
      </c>
      <c r="F102" s="6" t="s">
        <v>242</v>
      </c>
      <c r="G102" s="7">
        <v>110.19999999999999</v>
      </c>
      <c r="H102" s="6" t="s">
        <v>263</v>
      </c>
      <c r="I102" s="6" t="s">
        <v>48</v>
      </c>
      <c r="J102" s="8">
        <v>15736.0</v>
      </c>
      <c r="K102" s="6" t="s">
        <v>74</v>
      </c>
      <c r="L102" s="6" t="s">
        <v>75</v>
      </c>
      <c r="M102" s="6" t="s">
        <v>76</v>
      </c>
      <c r="N102" s="6" t="s">
        <v>58</v>
      </c>
      <c r="O102" s="6" t="s">
        <v>244</v>
      </c>
      <c r="P102" s="8" t="s">
        <v>254</v>
      </c>
      <c r="Q102" s="6" t="s">
        <v>46</v>
      </c>
      <c r="R102" s="6" t="s">
        <v>48</v>
      </c>
      <c r="S102" s="6" t="s">
        <v>48</v>
      </c>
      <c r="T102" s="6" t="s">
        <v>77</v>
      </c>
      <c r="U102" s="5"/>
      <c r="V102" s="5"/>
      <c r="W102" s="5"/>
      <c r="X102" s="5"/>
      <c r="Y102" s="5"/>
      <c r="Z102" s="5"/>
    </row>
    <row r="103" ht="15.75" customHeight="1">
      <c r="A103" s="6" t="s">
        <v>199</v>
      </c>
      <c r="B103" s="6" t="s">
        <v>240</v>
      </c>
      <c r="C103" s="6" t="s">
        <v>72</v>
      </c>
      <c r="D103" s="6" t="s">
        <v>27</v>
      </c>
      <c r="E103" s="6" t="s">
        <v>241</v>
      </c>
      <c r="F103" s="6" t="s">
        <v>242</v>
      </c>
      <c r="G103" s="7">
        <v>121.8</v>
      </c>
      <c r="H103" s="6" t="s">
        <v>264</v>
      </c>
      <c r="I103" s="6" t="s">
        <v>48</v>
      </c>
      <c r="J103" s="8">
        <v>15733.0</v>
      </c>
      <c r="K103" s="6" t="s">
        <v>74</v>
      </c>
      <c r="L103" s="6" t="s">
        <v>75</v>
      </c>
      <c r="M103" s="6" t="s">
        <v>76</v>
      </c>
      <c r="N103" s="6" t="s">
        <v>58</v>
      </c>
      <c r="O103" s="6" t="s">
        <v>244</v>
      </c>
      <c r="P103" s="8" t="s">
        <v>256</v>
      </c>
      <c r="Q103" s="6" t="s">
        <v>46</v>
      </c>
      <c r="R103" s="6" t="s">
        <v>48</v>
      </c>
      <c r="S103" s="6" t="s">
        <v>48</v>
      </c>
      <c r="T103" s="6" t="s">
        <v>77</v>
      </c>
      <c r="U103" s="5"/>
      <c r="V103" s="5"/>
      <c r="W103" s="5"/>
      <c r="X103" s="5"/>
      <c r="Y103" s="5"/>
      <c r="Z103" s="5"/>
    </row>
    <row r="104" ht="15.75" customHeight="1">
      <c r="A104" s="6" t="s">
        <v>199</v>
      </c>
      <c r="B104" s="6" t="s">
        <v>240</v>
      </c>
      <c r="C104" s="6" t="s">
        <v>72</v>
      </c>
      <c r="D104" s="6" t="s">
        <v>129</v>
      </c>
      <c r="E104" s="6" t="s">
        <v>241</v>
      </c>
      <c r="F104" s="6" t="s">
        <v>242</v>
      </c>
      <c r="G104" s="7">
        <v>160.07999999999998</v>
      </c>
      <c r="H104" s="6" t="s">
        <v>265</v>
      </c>
      <c r="I104" s="6" t="s">
        <v>48</v>
      </c>
      <c r="J104" s="8">
        <v>616.0</v>
      </c>
      <c r="K104" s="6" t="s">
        <v>74</v>
      </c>
      <c r="L104" s="6" t="s">
        <v>75</v>
      </c>
      <c r="M104" s="6" t="s">
        <v>76</v>
      </c>
      <c r="N104" s="6" t="s">
        <v>58</v>
      </c>
      <c r="O104" s="6" t="s">
        <v>244</v>
      </c>
      <c r="P104" s="8" t="s">
        <v>258</v>
      </c>
      <c r="Q104" s="6" t="s">
        <v>46</v>
      </c>
      <c r="R104" s="6" t="s">
        <v>48</v>
      </c>
      <c r="S104" s="6" t="s">
        <v>48</v>
      </c>
      <c r="T104" s="6" t="s">
        <v>77</v>
      </c>
      <c r="U104" s="5"/>
      <c r="V104" s="5"/>
      <c r="W104" s="5"/>
      <c r="X104" s="5"/>
      <c r="Y104" s="5"/>
      <c r="Z104" s="5"/>
    </row>
    <row r="105" ht="15.75" customHeight="1">
      <c r="A105" s="6" t="s">
        <v>199</v>
      </c>
      <c r="B105" s="6" t="s">
        <v>266</v>
      </c>
      <c r="C105" s="6" t="s">
        <v>26</v>
      </c>
      <c r="D105" s="6" t="s">
        <v>54</v>
      </c>
      <c r="E105" s="6" t="s">
        <v>267</v>
      </c>
      <c r="F105" s="6" t="s">
        <v>268</v>
      </c>
      <c r="G105" s="7">
        <v>140.35999999999999</v>
      </c>
      <c r="H105" s="6" t="s">
        <v>269</v>
      </c>
      <c r="I105" s="6" t="s">
        <v>37</v>
      </c>
      <c r="J105" s="8">
        <v>215.0</v>
      </c>
      <c r="K105" s="6" t="s">
        <v>40</v>
      </c>
      <c r="L105" s="6" t="s">
        <v>42</v>
      </c>
      <c r="M105" s="6" t="s">
        <v>44</v>
      </c>
      <c r="N105" s="6" t="s">
        <v>41</v>
      </c>
      <c r="O105" s="6" t="s">
        <v>270</v>
      </c>
      <c r="P105" s="8" t="s">
        <v>271</v>
      </c>
      <c r="Q105" s="6" t="s">
        <v>46</v>
      </c>
      <c r="R105" s="6" t="s">
        <v>48</v>
      </c>
      <c r="S105" s="6" t="s">
        <v>48</v>
      </c>
      <c r="T105" s="6" t="s">
        <v>52</v>
      </c>
      <c r="U105" s="5"/>
      <c r="V105" s="5"/>
      <c r="W105" s="5"/>
      <c r="X105" s="5"/>
      <c r="Y105" s="5"/>
      <c r="Z105" s="5"/>
    </row>
    <row r="106" ht="15.75" customHeight="1">
      <c r="A106" s="6" t="s">
        <v>199</v>
      </c>
      <c r="B106" s="6" t="s">
        <v>266</v>
      </c>
      <c r="C106" s="6" t="s">
        <v>26</v>
      </c>
      <c r="D106" s="6" t="s">
        <v>27</v>
      </c>
      <c r="E106" s="6" t="s">
        <v>267</v>
      </c>
      <c r="F106" s="6" t="s">
        <v>268</v>
      </c>
      <c r="G106" s="7">
        <v>140.35999999999999</v>
      </c>
      <c r="H106" s="6" t="s">
        <v>272</v>
      </c>
      <c r="I106" s="6" t="s">
        <v>37</v>
      </c>
      <c r="J106" s="8">
        <v>216.0</v>
      </c>
      <c r="K106" s="6" t="s">
        <v>40</v>
      </c>
      <c r="L106" s="6" t="s">
        <v>42</v>
      </c>
      <c r="M106" s="6" t="s">
        <v>44</v>
      </c>
      <c r="N106" s="6" t="s">
        <v>41</v>
      </c>
      <c r="O106" s="6" t="s">
        <v>270</v>
      </c>
      <c r="P106" s="8" t="s">
        <v>273</v>
      </c>
      <c r="Q106" s="6" t="s">
        <v>46</v>
      </c>
      <c r="R106" s="6" t="s">
        <v>48</v>
      </c>
      <c r="S106" s="6" t="s">
        <v>48</v>
      </c>
      <c r="T106" s="6" t="s">
        <v>52</v>
      </c>
      <c r="U106" s="5"/>
      <c r="V106" s="5"/>
      <c r="W106" s="5"/>
      <c r="X106" s="5"/>
      <c r="Y106" s="5"/>
      <c r="Z106" s="5"/>
    </row>
    <row r="107" ht="15.75" customHeight="1">
      <c r="A107" s="6" t="s">
        <v>199</v>
      </c>
      <c r="B107" s="6" t="s">
        <v>266</v>
      </c>
      <c r="C107" s="6" t="s">
        <v>26</v>
      </c>
      <c r="D107" s="6" t="s">
        <v>129</v>
      </c>
      <c r="E107" s="6" t="s">
        <v>267</v>
      </c>
      <c r="F107" s="6" t="s">
        <v>268</v>
      </c>
      <c r="G107" s="7">
        <v>165.88</v>
      </c>
      <c r="H107" s="6" t="s">
        <v>68</v>
      </c>
      <c r="I107" s="6" t="s">
        <v>37</v>
      </c>
      <c r="J107" s="8">
        <v>2690.0</v>
      </c>
      <c r="K107" s="6" t="s">
        <v>40</v>
      </c>
      <c r="L107" s="6" t="s">
        <v>42</v>
      </c>
      <c r="M107" s="6" t="s">
        <v>44</v>
      </c>
      <c r="N107" s="6" t="s">
        <v>41</v>
      </c>
      <c r="O107" s="6" t="s">
        <v>270</v>
      </c>
      <c r="P107" s="8" t="s">
        <v>274</v>
      </c>
      <c r="Q107" s="6" t="s">
        <v>46</v>
      </c>
      <c r="R107" s="6" t="s">
        <v>48</v>
      </c>
      <c r="S107" s="6" t="s">
        <v>48</v>
      </c>
      <c r="T107" s="6" t="s">
        <v>52</v>
      </c>
      <c r="U107" s="5"/>
      <c r="V107" s="5"/>
      <c r="W107" s="5"/>
      <c r="X107" s="5"/>
      <c r="Y107" s="5"/>
      <c r="Z107" s="5"/>
    </row>
    <row r="108" ht="15.75" customHeight="1">
      <c r="A108" s="6" t="s">
        <v>199</v>
      </c>
      <c r="B108" s="6" t="s">
        <v>266</v>
      </c>
      <c r="C108" s="6" t="s">
        <v>53</v>
      </c>
      <c r="D108" s="6" t="s">
        <v>54</v>
      </c>
      <c r="E108" s="6" t="s">
        <v>267</v>
      </c>
      <c r="F108" s="6" t="s">
        <v>268</v>
      </c>
      <c r="G108" s="7">
        <v>191.39999999999998</v>
      </c>
      <c r="H108" s="6" t="s">
        <v>140</v>
      </c>
      <c r="I108" s="6" t="s">
        <v>48</v>
      </c>
      <c r="J108" s="8">
        <v>220.0</v>
      </c>
      <c r="K108" s="6" t="s">
        <v>53</v>
      </c>
      <c r="L108" s="6" t="s">
        <v>56</v>
      </c>
      <c r="M108" s="6" t="s">
        <v>57</v>
      </c>
      <c r="N108" s="6" t="s">
        <v>58</v>
      </c>
      <c r="O108" s="6" t="s">
        <v>270</v>
      </c>
      <c r="P108" s="8" t="s">
        <v>275</v>
      </c>
      <c r="Q108" s="6" t="s">
        <v>46</v>
      </c>
      <c r="R108" s="6" t="s">
        <v>48</v>
      </c>
      <c r="S108" s="6" t="s">
        <v>48</v>
      </c>
      <c r="T108" s="6" t="s">
        <v>52</v>
      </c>
      <c r="U108" s="5"/>
      <c r="V108" s="5"/>
      <c r="W108" s="5"/>
      <c r="X108" s="5"/>
      <c r="Y108" s="5"/>
      <c r="Z108" s="5"/>
    </row>
    <row r="109" ht="15.75" customHeight="1">
      <c r="A109" s="6" t="s">
        <v>199</v>
      </c>
      <c r="B109" s="6" t="s">
        <v>266</v>
      </c>
      <c r="C109" s="6" t="s">
        <v>53</v>
      </c>
      <c r="D109" s="6" t="s">
        <v>27</v>
      </c>
      <c r="E109" s="6" t="s">
        <v>267</v>
      </c>
      <c r="F109" s="6" t="s">
        <v>268</v>
      </c>
      <c r="G109" s="7">
        <v>223.88</v>
      </c>
      <c r="H109" s="6" t="s">
        <v>276</v>
      </c>
      <c r="I109" s="6" t="s">
        <v>48</v>
      </c>
      <c r="J109" s="8">
        <v>221.0</v>
      </c>
      <c r="K109" s="6" t="s">
        <v>53</v>
      </c>
      <c r="L109" s="6" t="s">
        <v>56</v>
      </c>
      <c r="M109" s="6" t="s">
        <v>57</v>
      </c>
      <c r="N109" s="6" t="s">
        <v>58</v>
      </c>
      <c r="O109" s="6" t="s">
        <v>270</v>
      </c>
      <c r="P109" s="8" t="s">
        <v>277</v>
      </c>
      <c r="Q109" s="6" t="s">
        <v>46</v>
      </c>
      <c r="R109" s="6" t="s">
        <v>48</v>
      </c>
      <c r="S109" s="6" t="s">
        <v>48</v>
      </c>
      <c r="T109" s="6" t="s">
        <v>52</v>
      </c>
      <c r="U109" s="5"/>
      <c r="V109" s="5"/>
      <c r="W109" s="5"/>
      <c r="X109" s="5"/>
      <c r="Y109" s="5"/>
      <c r="Z109" s="5"/>
    </row>
    <row r="110" ht="15.75" customHeight="1">
      <c r="A110" s="6" t="s">
        <v>199</v>
      </c>
      <c r="B110" s="6" t="s">
        <v>266</v>
      </c>
      <c r="C110" s="6" t="s">
        <v>53</v>
      </c>
      <c r="D110" s="6" t="s">
        <v>129</v>
      </c>
      <c r="E110" s="6" t="s">
        <v>267</v>
      </c>
      <c r="F110" s="6" t="s">
        <v>268</v>
      </c>
      <c r="G110" s="7">
        <v>319.0</v>
      </c>
      <c r="H110" s="6" t="s">
        <v>265</v>
      </c>
      <c r="I110" s="6" t="s">
        <v>48</v>
      </c>
      <c r="J110" s="8">
        <v>222.0</v>
      </c>
      <c r="K110" s="6" t="s">
        <v>53</v>
      </c>
      <c r="L110" s="6" t="s">
        <v>56</v>
      </c>
      <c r="M110" s="6" t="s">
        <v>57</v>
      </c>
      <c r="N110" s="6" t="s">
        <v>58</v>
      </c>
      <c r="O110" s="6" t="s">
        <v>270</v>
      </c>
      <c r="P110" s="8" t="s">
        <v>278</v>
      </c>
      <c r="Q110" s="6" t="s">
        <v>46</v>
      </c>
      <c r="R110" s="6" t="s">
        <v>48</v>
      </c>
      <c r="S110" s="6" t="s">
        <v>48</v>
      </c>
      <c r="T110" s="6" t="s">
        <v>52</v>
      </c>
      <c r="U110" s="5"/>
      <c r="V110" s="5"/>
      <c r="W110" s="5"/>
      <c r="X110" s="5"/>
      <c r="Y110" s="5"/>
      <c r="Z110" s="5"/>
    </row>
    <row r="111" ht="15.75" customHeight="1">
      <c r="A111" s="6" t="s">
        <v>199</v>
      </c>
      <c r="B111" s="6" t="s">
        <v>266</v>
      </c>
      <c r="C111" s="6" t="s">
        <v>62</v>
      </c>
      <c r="D111" s="6" t="s">
        <v>54</v>
      </c>
      <c r="E111" s="6" t="s">
        <v>267</v>
      </c>
      <c r="F111" s="6" t="s">
        <v>268</v>
      </c>
      <c r="G111" s="7">
        <v>109.03999999999999</v>
      </c>
      <c r="H111" s="6" t="s">
        <v>279</v>
      </c>
      <c r="I111" s="6" t="s">
        <v>48</v>
      </c>
      <c r="J111" s="8">
        <v>207.0</v>
      </c>
      <c r="K111" s="6" t="s">
        <v>62</v>
      </c>
      <c r="L111" s="6" t="s">
        <v>69</v>
      </c>
      <c r="M111" s="6" t="s">
        <v>70</v>
      </c>
      <c r="N111" s="6" t="s">
        <v>58</v>
      </c>
      <c r="O111" s="6" t="s">
        <v>270</v>
      </c>
      <c r="P111" s="8" t="s">
        <v>275</v>
      </c>
      <c r="Q111" s="6" t="s">
        <v>46</v>
      </c>
      <c r="R111" s="6" t="s">
        <v>48</v>
      </c>
      <c r="S111" s="6" t="s">
        <v>48</v>
      </c>
      <c r="T111" s="6" t="s">
        <v>52</v>
      </c>
      <c r="U111" s="5"/>
      <c r="V111" s="5"/>
      <c r="W111" s="5"/>
      <c r="X111" s="5"/>
      <c r="Y111" s="5"/>
      <c r="Z111" s="5"/>
    </row>
    <row r="112" ht="15.75" customHeight="1">
      <c r="A112" s="6" t="s">
        <v>199</v>
      </c>
      <c r="B112" s="6" t="s">
        <v>266</v>
      </c>
      <c r="C112" s="6" t="s">
        <v>62</v>
      </c>
      <c r="D112" s="6" t="s">
        <v>27</v>
      </c>
      <c r="E112" s="6" t="s">
        <v>267</v>
      </c>
      <c r="F112" s="6" t="s">
        <v>268</v>
      </c>
      <c r="G112" s="7">
        <v>121.8</v>
      </c>
      <c r="H112" s="6" t="s">
        <v>280</v>
      </c>
      <c r="I112" s="6" t="s">
        <v>48</v>
      </c>
      <c r="J112" s="8">
        <v>208.0</v>
      </c>
      <c r="K112" s="6" t="s">
        <v>62</v>
      </c>
      <c r="L112" s="6" t="s">
        <v>69</v>
      </c>
      <c r="M112" s="6" t="s">
        <v>70</v>
      </c>
      <c r="N112" s="6" t="s">
        <v>58</v>
      </c>
      <c r="O112" s="6" t="s">
        <v>270</v>
      </c>
      <c r="P112" s="8" t="s">
        <v>277</v>
      </c>
      <c r="Q112" s="6" t="s">
        <v>46</v>
      </c>
      <c r="R112" s="6" t="s">
        <v>48</v>
      </c>
      <c r="S112" s="6" t="s">
        <v>48</v>
      </c>
      <c r="T112" s="6" t="s">
        <v>52</v>
      </c>
      <c r="U112" s="5"/>
      <c r="V112" s="5"/>
      <c r="W112" s="5"/>
      <c r="X112" s="5"/>
      <c r="Y112" s="5"/>
      <c r="Z112" s="5"/>
    </row>
    <row r="113" ht="15.75" customHeight="1">
      <c r="A113" s="6" t="s">
        <v>199</v>
      </c>
      <c r="B113" s="6" t="s">
        <v>266</v>
      </c>
      <c r="C113" s="6" t="s">
        <v>72</v>
      </c>
      <c r="D113" s="6" t="s">
        <v>54</v>
      </c>
      <c r="E113" s="6" t="s">
        <v>267</v>
      </c>
      <c r="F113" s="6" t="s">
        <v>268</v>
      </c>
      <c r="G113" s="7">
        <v>109.03999999999999</v>
      </c>
      <c r="H113" s="6" t="s">
        <v>281</v>
      </c>
      <c r="I113" s="6" t="s">
        <v>48</v>
      </c>
      <c r="J113" s="8">
        <v>212.0</v>
      </c>
      <c r="K113" s="6" t="s">
        <v>74</v>
      </c>
      <c r="L113" s="6" t="s">
        <v>75</v>
      </c>
      <c r="M113" s="6" t="s">
        <v>76</v>
      </c>
      <c r="N113" s="6" t="s">
        <v>58</v>
      </c>
      <c r="O113" s="6" t="s">
        <v>270</v>
      </c>
      <c r="P113" s="8" t="s">
        <v>275</v>
      </c>
      <c r="Q113" s="6" t="s">
        <v>46</v>
      </c>
      <c r="R113" s="6" t="s">
        <v>48</v>
      </c>
      <c r="S113" s="6" t="s">
        <v>48</v>
      </c>
      <c r="T113" s="6" t="s">
        <v>77</v>
      </c>
      <c r="U113" s="5"/>
      <c r="V113" s="5"/>
      <c r="W113" s="5"/>
      <c r="X113" s="5"/>
      <c r="Y113" s="5"/>
      <c r="Z113" s="5"/>
    </row>
    <row r="114" ht="15.75" customHeight="1">
      <c r="A114" s="6" t="s">
        <v>199</v>
      </c>
      <c r="B114" s="6" t="s">
        <v>266</v>
      </c>
      <c r="C114" s="6" t="s">
        <v>72</v>
      </c>
      <c r="D114" s="6" t="s">
        <v>27</v>
      </c>
      <c r="E114" s="6" t="s">
        <v>267</v>
      </c>
      <c r="F114" s="6" t="s">
        <v>268</v>
      </c>
      <c r="G114" s="7">
        <v>121.8</v>
      </c>
      <c r="H114" s="6" t="s">
        <v>282</v>
      </c>
      <c r="I114" s="6" t="s">
        <v>48</v>
      </c>
      <c r="J114" s="8">
        <v>213.0</v>
      </c>
      <c r="K114" s="6" t="s">
        <v>74</v>
      </c>
      <c r="L114" s="6" t="s">
        <v>75</v>
      </c>
      <c r="M114" s="6" t="s">
        <v>76</v>
      </c>
      <c r="N114" s="6" t="s">
        <v>58</v>
      </c>
      <c r="O114" s="6" t="s">
        <v>270</v>
      </c>
      <c r="P114" s="8" t="s">
        <v>277</v>
      </c>
      <c r="Q114" s="6" t="s">
        <v>46</v>
      </c>
      <c r="R114" s="6" t="s">
        <v>48</v>
      </c>
      <c r="S114" s="6" t="s">
        <v>48</v>
      </c>
      <c r="T114" s="6" t="s">
        <v>77</v>
      </c>
      <c r="U114" s="5"/>
      <c r="V114" s="5"/>
      <c r="W114" s="5"/>
      <c r="X114" s="5"/>
      <c r="Y114" s="5"/>
      <c r="Z114" s="5"/>
    </row>
    <row r="115" ht="15.75" customHeight="1">
      <c r="A115" s="6" t="s">
        <v>199</v>
      </c>
      <c r="B115" s="6" t="s">
        <v>283</v>
      </c>
      <c r="C115" s="6" t="s">
        <v>26</v>
      </c>
      <c r="D115" s="6" t="s">
        <v>54</v>
      </c>
      <c r="E115" s="6" t="s">
        <v>284</v>
      </c>
      <c r="F115" s="6" t="s">
        <v>285</v>
      </c>
      <c r="G115" s="7">
        <v>121.8</v>
      </c>
      <c r="H115" s="6" t="s">
        <v>177</v>
      </c>
      <c r="I115" s="6" t="s">
        <v>37</v>
      </c>
      <c r="J115" s="8">
        <v>253.0</v>
      </c>
      <c r="K115" s="6" t="s">
        <v>40</v>
      </c>
      <c r="L115" s="6" t="s">
        <v>42</v>
      </c>
      <c r="M115" s="6" t="s">
        <v>44</v>
      </c>
      <c r="N115" s="6" t="s">
        <v>41</v>
      </c>
      <c r="O115" s="6" t="s">
        <v>286</v>
      </c>
      <c r="P115" s="8" t="s">
        <v>287</v>
      </c>
      <c r="Q115" s="6" t="s">
        <v>46</v>
      </c>
      <c r="R115" s="6" t="s">
        <v>48</v>
      </c>
      <c r="S115" s="6" t="s">
        <v>48</v>
      </c>
      <c r="T115" s="6" t="s">
        <v>52</v>
      </c>
      <c r="U115" s="5"/>
      <c r="V115" s="5"/>
      <c r="W115" s="5"/>
      <c r="X115" s="5"/>
      <c r="Y115" s="5"/>
      <c r="Z115" s="5"/>
    </row>
    <row r="116" ht="15.75" customHeight="1">
      <c r="A116" s="6" t="s">
        <v>199</v>
      </c>
      <c r="B116" s="6" t="s">
        <v>283</v>
      </c>
      <c r="C116" s="6" t="s">
        <v>26</v>
      </c>
      <c r="D116" s="6" t="s">
        <v>27</v>
      </c>
      <c r="E116" s="6" t="s">
        <v>284</v>
      </c>
      <c r="F116" s="6" t="s">
        <v>285</v>
      </c>
      <c r="G116" s="7">
        <v>140.35999999999999</v>
      </c>
      <c r="H116" s="6" t="s">
        <v>288</v>
      </c>
      <c r="I116" s="6" t="s">
        <v>37</v>
      </c>
      <c r="J116" s="8">
        <v>254.0</v>
      </c>
      <c r="K116" s="6" t="s">
        <v>40</v>
      </c>
      <c r="L116" s="6" t="s">
        <v>42</v>
      </c>
      <c r="M116" s="6" t="s">
        <v>44</v>
      </c>
      <c r="N116" s="6" t="s">
        <v>41</v>
      </c>
      <c r="O116" s="6" t="s">
        <v>286</v>
      </c>
      <c r="P116" s="8" t="s">
        <v>289</v>
      </c>
      <c r="Q116" s="6" t="s">
        <v>46</v>
      </c>
      <c r="R116" s="6" t="s">
        <v>48</v>
      </c>
      <c r="S116" s="6" t="s">
        <v>48</v>
      </c>
      <c r="T116" s="6" t="s">
        <v>52</v>
      </c>
      <c r="U116" s="5"/>
      <c r="V116" s="5"/>
      <c r="W116" s="5"/>
      <c r="X116" s="5"/>
      <c r="Y116" s="5"/>
      <c r="Z116" s="5"/>
    </row>
    <row r="117" ht="15.75" customHeight="1">
      <c r="A117" s="6" t="s">
        <v>199</v>
      </c>
      <c r="B117" s="6" t="s">
        <v>283</v>
      </c>
      <c r="C117" s="6" t="s">
        <v>26</v>
      </c>
      <c r="D117" s="6" t="s">
        <v>129</v>
      </c>
      <c r="E117" s="6" t="s">
        <v>284</v>
      </c>
      <c r="F117" s="6" t="s">
        <v>285</v>
      </c>
      <c r="G117" s="7">
        <v>165.88</v>
      </c>
      <c r="H117" s="6" t="s">
        <v>290</v>
      </c>
      <c r="I117" s="6" t="s">
        <v>37</v>
      </c>
      <c r="J117" s="8">
        <v>255.0</v>
      </c>
      <c r="K117" s="6" t="s">
        <v>40</v>
      </c>
      <c r="L117" s="6" t="s">
        <v>42</v>
      </c>
      <c r="M117" s="6" t="s">
        <v>44</v>
      </c>
      <c r="N117" s="6" t="s">
        <v>41</v>
      </c>
      <c r="O117" s="6" t="s">
        <v>286</v>
      </c>
      <c r="P117" s="8" t="s">
        <v>291</v>
      </c>
      <c r="Q117" s="6" t="s">
        <v>46</v>
      </c>
      <c r="R117" s="6" t="s">
        <v>48</v>
      </c>
      <c r="S117" s="6" t="s">
        <v>48</v>
      </c>
      <c r="T117" s="6" t="s">
        <v>52</v>
      </c>
      <c r="U117" s="5"/>
      <c r="V117" s="5"/>
      <c r="W117" s="5"/>
      <c r="X117" s="5"/>
      <c r="Y117" s="5"/>
      <c r="Z117" s="5"/>
    </row>
    <row r="118" ht="15.75" customHeight="1">
      <c r="A118" s="6" t="s">
        <v>199</v>
      </c>
      <c r="B118" s="6" t="s">
        <v>283</v>
      </c>
      <c r="C118" s="6" t="s">
        <v>53</v>
      </c>
      <c r="D118" s="6" t="s">
        <v>54</v>
      </c>
      <c r="E118" s="6" t="s">
        <v>284</v>
      </c>
      <c r="F118" s="6" t="s">
        <v>285</v>
      </c>
      <c r="G118" s="7">
        <v>191.39999999999998</v>
      </c>
      <c r="H118" s="6" t="s">
        <v>292</v>
      </c>
      <c r="I118" s="6" t="s">
        <v>48</v>
      </c>
      <c r="J118" s="8">
        <v>258.0</v>
      </c>
      <c r="K118" s="6" t="s">
        <v>53</v>
      </c>
      <c r="L118" s="6" t="s">
        <v>56</v>
      </c>
      <c r="M118" s="6" t="s">
        <v>57</v>
      </c>
      <c r="N118" s="6" t="s">
        <v>58</v>
      </c>
      <c r="O118" s="6" t="s">
        <v>286</v>
      </c>
      <c r="P118" s="8" t="s">
        <v>147</v>
      </c>
      <c r="Q118" s="6" t="s">
        <v>46</v>
      </c>
      <c r="R118" s="6" t="s">
        <v>48</v>
      </c>
      <c r="S118" s="6" t="s">
        <v>48</v>
      </c>
      <c r="T118" s="6" t="s">
        <v>52</v>
      </c>
      <c r="U118" s="5"/>
      <c r="V118" s="5"/>
      <c r="W118" s="5"/>
      <c r="X118" s="5"/>
      <c r="Y118" s="5"/>
      <c r="Z118" s="5"/>
    </row>
    <row r="119" ht="15.75" customHeight="1">
      <c r="A119" s="6" t="s">
        <v>199</v>
      </c>
      <c r="B119" s="6" t="s">
        <v>283</v>
      </c>
      <c r="C119" s="6" t="s">
        <v>53</v>
      </c>
      <c r="D119" s="6" t="s">
        <v>27</v>
      </c>
      <c r="E119" s="6" t="s">
        <v>284</v>
      </c>
      <c r="F119" s="6" t="s">
        <v>285</v>
      </c>
      <c r="G119" s="7">
        <v>223.88</v>
      </c>
      <c r="H119" s="6" t="s">
        <v>293</v>
      </c>
      <c r="I119" s="6" t="s">
        <v>48</v>
      </c>
      <c r="J119" s="8">
        <v>259.0</v>
      </c>
      <c r="K119" s="6" t="s">
        <v>53</v>
      </c>
      <c r="L119" s="6" t="s">
        <v>56</v>
      </c>
      <c r="M119" s="6" t="s">
        <v>57</v>
      </c>
      <c r="N119" s="6" t="s">
        <v>58</v>
      </c>
      <c r="O119" s="6" t="s">
        <v>286</v>
      </c>
      <c r="P119" s="8" t="s">
        <v>294</v>
      </c>
      <c r="Q119" s="6" t="s">
        <v>46</v>
      </c>
      <c r="R119" s="6" t="s">
        <v>48</v>
      </c>
      <c r="S119" s="6" t="s">
        <v>48</v>
      </c>
      <c r="T119" s="6" t="s">
        <v>52</v>
      </c>
      <c r="U119" s="5"/>
      <c r="V119" s="5"/>
      <c r="W119" s="5"/>
      <c r="X119" s="5"/>
      <c r="Y119" s="5"/>
      <c r="Z119" s="5"/>
    </row>
    <row r="120" ht="15.75" customHeight="1">
      <c r="A120" s="6" t="s">
        <v>199</v>
      </c>
      <c r="B120" s="6" t="s">
        <v>283</v>
      </c>
      <c r="C120" s="6" t="s">
        <v>53</v>
      </c>
      <c r="D120" s="6" t="s">
        <v>129</v>
      </c>
      <c r="E120" s="6" t="s">
        <v>284</v>
      </c>
      <c r="F120" s="6" t="s">
        <v>285</v>
      </c>
      <c r="G120" s="7">
        <v>319.0</v>
      </c>
      <c r="H120" s="6" t="s">
        <v>257</v>
      </c>
      <c r="I120" s="6" t="s">
        <v>48</v>
      </c>
      <c r="J120" s="8">
        <v>260.0</v>
      </c>
      <c r="K120" s="6" t="s">
        <v>53</v>
      </c>
      <c r="L120" s="6" t="s">
        <v>56</v>
      </c>
      <c r="M120" s="6" t="s">
        <v>57</v>
      </c>
      <c r="N120" s="6" t="s">
        <v>58</v>
      </c>
      <c r="O120" s="6" t="s">
        <v>286</v>
      </c>
      <c r="P120" s="8" t="s">
        <v>295</v>
      </c>
      <c r="Q120" s="6" t="s">
        <v>46</v>
      </c>
      <c r="R120" s="6" t="s">
        <v>48</v>
      </c>
      <c r="S120" s="6" t="s">
        <v>48</v>
      </c>
      <c r="T120" s="6" t="s">
        <v>52</v>
      </c>
      <c r="U120" s="5"/>
      <c r="V120" s="5"/>
      <c r="W120" s="5"/>
      <c r="X120" s="5"/>
      <c r="Y120" s="5"/>
      <c r="Z120" s="5"/>
    </row>
    <row r="121" ht="15.75" customHeight="1">
      <c r="A121" s="6" t="s">
        <v>199</v>
      </c>
      <c r="B121" s="6" t="s">
        <v>283</v>
      </c>
      <c r="C121" s="6" t="s">
        <v>62</v>
      </c>
      <c r="D121" s="6" t="s">
        <v>54</v>
      </c>
      <c r="E121" s="6" t="s">
        <v>284</v>
      </c>
      <c r="F121" s="6" t="s">
        <v>285</v>
      </c>
      <c r="G121" s="7">
        <v>109.03999999999999</v>
      </c>
      <c r="H121" s="6" t="s">
        <v>296</v>
      </c>
      <c r="I121" s="6" t="s">
        <v>48</v>
      </c>
      <c r="J121" s="8">
        <v>243.0</v>
      </c>
      <c r="K121" s="6" t="s">
        <v>62</v>
      </c>
      <c r="L121" s="6" t="s">
        <v>69</v>
      </c>
      <c r="M121" s="6" t="s">
        <v>70</v>
      </c>
      <c r="N121" s="6" t="s">
        <v>58</v>
      </c>
      <c r="O121" s="6" t="s">
        <v>286</v>
      </c>
      <c r="P121" s="8" t="s">
        <v>147</v>
      </c>
      <c r="Q121" s="6" t="s">
        <v>46</v>
      </c>
      <c r="R121" s="6" t="s">
        <v>48</v>
      </c>
      <c r="S121" s="6" t="s">
        <v>48</v>
      </c>
      <c r="T121" s="6" t="s">
        <v>52</v>
      </c>
      <c r="U121" s="5"/>
      <c r="V121" s="5"/>
      <c r="W121" s="5"/>
      <c r="X121" s="5"/>
      <c r="Y121" s="5"/>
      <c r="Z121" s="5"/>
    </row>
    <row r="122" ht="15.75" customHeight="1">
      <c r="A122" s="6" t="s">
        <v>199</v>
      </c>
      <c r="B122" s="6" t="s">
        <v>283</v>
      </c>
      <c r="C122" s="6" t="s">
        <v>62</v>
      </c>
      <c r="D122" s="6" t="s">
        <v>27</v>
      </c>
      <c r="E122" s="6" t="s">
        <v>284</v>
      </c>
      <c r="F122" s="6" t="s">
        <v>285</v>
      </c>
      <c r="G122" s="7">
        <v>121.8</v>
      </c>
      <c r="H122" s="6" t="s">
        <v>297</v>
      </c>
      <c r="I122" s="6" t="s">
        <v>48</v>
      </c>
      <c r="J122" s="8">
        <v>244.0</v>
      </c>
      <c r="K122" s="6" t="s">
        <v>62</v>
      </c>
      <c r="L122" s="6" t="s">
        <v>69</v>
      </c>
      <c r="M122" s="6" t="s">
        <v>70</v>
      </c>
      <c r="N122" s="6" t="s">
        <v>58</v>
      </c>
      <c r="O122" s="6" t="s">
        <v>286</v>
      </c>
      <c r="P122" s="8" t="s">
        <v>294</v>
      </c>
      <c r="Q122" s="6" t="s">
        <v>46</v>
      </c>
      <c r="R122" s="6" t="s">
        <v>48</v>
      </c>
      <c r="S122" s="6" t="s">
        <v>48</v>
      </c>
      <c r="T122" s="6" t="s">
        <v>52</v>
      </c>
      <c r="U122" s="5"/>
      <c r="V122" s="5"/>
      <c r="W122" s="5"/>
      <c r="X122" s="5"/>
      <c r="Y122" s="5"/>
      <c r="Z122" s="5"/>
    </row>
    <row r="123" ht="15.75" customHeight="1">
      <c r="A123" s="6" t="s">
        <v>199</v>
      </c>
      <c r="B123" s="6" t="s">
        <v>283</v>
      </c>
      <c r="C123" s="6" t="s">
        <v>62</v>
      </c>
      <c r="D123" s="6" t="s">
        <v>129</v>
      </c>
      <c r="E123" s="6" t="s">
        <v>284</v>
      </c>
      <c r="F123" s="6" t="s">
        <v>285</v>
      </c>
      <c r="G123" s="7">
        <v>140.35999999999999</v>
      </c>
      <c r="H123" s="6" t="s">
        <v>64</v>
      </c>
      <c r="I123" s="6" t="s">
        <v>48</v>
      </c>
      <c r="J123" s="8">
        <v>615.0</v>
      </c>
      <c r="K123" s="6" t="s">
        <v>62</v>
      </c>
      <c r="L123" s="6" t="s">
        <v>69</v>
      </c>
      <c r="M123" s="6" t="s">
        <v>70</v>
      </c>
      <c r="N123" s="6" t="s">
        <v>58</v>
      </c>
      <c r="O123" s="6" t="s">
        <v>286</v>
      </c>
      <c r="P123" s="8" t="s">
        <v>298</v>
      </c>
      <c r="Q123" s="6" t="s">
        <v>46</v>
      </c>
      <c r="R123" s="6" t="s">
        <v>48</v>
      </c>
      <c r="S123" s="6" t="s">
        <v>48</v>
      </c>
      <c r="T123" s="6" t="s">
        <v>52</v>
      </c>
      <c r="U123" s="5"/>
      <c r="V123" s="5"/>
      <c r="W123" s="5"/>
      <c r="X123" s="5"/>
      <c r="Y123" s="5"/>
      <c r="Z123" s="5"/>
    </row>
    <row r="124" ht="15.75" customHeight="1">
      <c r="A124" s="6" t="s">
        <v>199</v>
      </c>
      <c r="B124" s="6" t="s">
        <v>283</v>
      </c>
      <c r="C124" s="6" t="s">
        <v>62</v>
      </c>
      <c r="D124" s="6" t="s">
        <v>299</v>
      </c>
      <c r="E124" s="6" t="s">
        <v>284</v>
      </c>
      <c r="F124" s="6" t="s">
        <v>285</v>
      </c>
      <c r="G124" s="7">
        <v>229.67999999999998</v>
      </c>
      <c r="H124" s="6" t="s">
        <v>300</v>
      </c>
      <c r="I124" s="6" t="s">
        <v>48</v>
      </c>
      <c r="J124" s="8">
        <v>247.0</v>
      </c>
      <c r="K124" s="6" t="s">
        <v>62</v>
      </c>
      <c r="L124" s="6" t="s">
        <v>301</v>
      </c>
      <c r="M124" s="6" t="s">
        <v>302</v>
      </c>
      <c r="N124" s="6" t="s">
        <v>58</v>
      </c>
      <c r="O124" s="6" t="s">
        <v>286</v>
      </c>
      <c r="P124" s="8" t="s">
        <v>303</v>
      </c>
      <c r="Q124" s="6" t="s">
        <v>46</v>
      </c>
      <c r="R124" s="6" t="s">
        <v>48</v>
      </c>
      <c r="S124" s="6" t="s">
        <v>48</v>
      </c>
      <c r="T124" s="6" t="s">
        <v>52</v>
      </c>
      <c r="U124" s="5"/>
      <c r="V124" s="5"/>
      <c r="W124" s="5"/>
      <c r="X124" s="5"/>
      <c r="Y124" s="5"/>
      <c r="Z124" s="5"/>
    </row>
    <row r="125" ht="15.75" customHeight="1">
      <c r="A125" s="6" t="s">
        <v>199</v>
      </c>
      <c r="B125" s="6" t="s">
        <v>283</v>
      </c>
      <c r="C125" s="6" t="s">
        <v>72</v>
      </c>
      <c r="D125" s="6" t="s">
        <v>54</v>
      </c>
      <c r="E125" s="6" t="s">
        <v>284</v>
      </c>
      <c r="F125" s="6" t="s">
        <v>285</v>
      </c>
      <c r="G125" s="7">
        <v>109.03999999999999</v>
      </c>
      <c r="H125" s="6" t="s">
        <v>304</v>
      </c>
      <c r="I125" s="6" t="s">
        <v>48</v>
      </c>
      <c r="J125" s="8">
        <v>249.0</v>
      </c>
      <c r="K125" s="6" t="s">
        <v>74</v>
      </c>
      <c r="L125" s="6" t="s">
        <v>75</v>
      </c>
      <c r="M125" s="6" t="s">
        <v>76</v>
      </c>
      <c r="N125" s="6" t="s">
        <v>58</v>
      </c>
      <c r="O125" s="6" t="s">
        <v>286</v>
      </c>
      <c r="P125" s="8" t="s">
        <v>147</v>
      </c>
      <c r="Q125" s="6" t="s">
        <v>46</v>
      </c>
      <c r="R125" s="6" t="s">
        <v>48</v>
      </c>
      <c r="S125" s="6" t="s">
        <v>48</v>
      </c>
      <c r="T125" s="6" t="s">
        <v>77</v>
      </c>
      <c r="U125" s="5"/>
      <c r="V125" s="5"/>
      <c r="W125" s="5"/>
      <c r="X125" s="5"/>
      <c r="Y125" s="5"/>
      <c r="Z125" s="5"/>
    </row>
    <row r="126" ht="15.75" customHeight="1">
      <c r="A126" s="6" t="s">
        <v>199</v>
      </c>
      <c r="B126" s="6" t="s">
        <v>283</v>
      </c>
      <c r="C126" s="6" t="s">
        <v>72</v>
      </c>
      <c r="D126" s="6" t="s">
        <v>27</v>
      </c>
      <c r="E126" s="6" t="s">
        <v>284</v>
      </c>
      <c r="F126" s="6" t="s">
        <v>285</v>
      </c>
      <c r="G126" s="7">
        <v>121.8</v>
      </c>
      <c r="H126" s="6" t="s">
        <v>305</v>
      </c>
      <c r="I126" s="6" t="s">
        <v>48</v>
      </c>
      <c r="J126" s="8">
        <v>250.0</v>
      </c>
      <c r="K126" s="6" t="s">
        <v>74</v>
      </c>
      <c r="L126" s="6" t="s">
        <v>75</v>
      </c>
      <c r="M126" s="6" t="s">
        <v>76</v>
      </c>
      <c r="N126" s="6" t="s">
        <v>58</v>
      </c>
      <c r="O126" s="6" t="s">
        <v>286</v>
      </c>
      <c r="P126" s="8" t="s">
        <v>294</v>
      </c>
      <c r="Q126" s="6" t="s">
        <v>46</v>
      </c>
      <c r="R126" s="6" t="s">
        <v>48</v>
      </c>
      <c r="S126" s="6" t="s">
        <v>48</v>
      </c>
      <c r="T126" s="6" t="s">
        <v>77</v>
      </c>
      <c r="U126" s="5"/>
      <c r="V126" s="5"/>
      <c r="W126" s="5"/>
      <c r="X126" s="5"/>
      <c r="Y126" s="5"/>
      <c r="Z126" s="5"/>
    </row>
    <row r="127" ht="15.75" customHeight="1">
      <c r="A127" s="6" t="s">
        <v>199</v>
      </c>
      <c r="B127" s="6" t="s">
        <v>283</v>
      </c>
      <c r="C127" s="6" t="s">
        <v>72</v>
      </c>
      <c r="D127" s="6" t="s">
        <v>129</v>
      </c>
      <c r="E127" s="6" t="s">
        <v>284</v>
      </c>
      <c r="F127" s="6" t="s">
        <v>285</v>
      </c>
      <c r="G127" s="7">
        <v>160.07999999999998</v>
      </c>
      <c r="H127" s="6" t="s">
        <v>239</v>
      </c>
      <c r="I127" s="6" t="s">
        <v>48</v>
      </c>
      <c r="J127" s="8">
        <v>251.0</v>
      </c>
      <c r="K127" s="6" t="s">
        <v>74</v>
      </c>
      <c r="L127" s="6" t="s">
        <v>75</v>
      </c>
      <c r="M127" s="6" t="s">
        <v>76</v>
      </c>
      <c r="N127" s="6" t="s">
        <v>58</v>
      </c>
      <c r="O127" s="6" t="s">
        <v>286</v>
      </c>
      <c r="P127" s="8" t="s">
        <v>295</v>
      </c>
      <c r="Q127" s="6" t="s">
        <v>46</v>
      </c>
      <c r="R127" s="6" t="s">
        <v>48</v>
      </c>
      <c r="S127" s="6" t="s">
        <v>48</v>
      </c>
      <c r="T127" s="6" t="s">
        <v>77</v>
      </c>
      <c r="U127" s="5"/>
      <c r="V127" s="5"/>
      <c r="W127" s="5"/>
      <c r="X127" s="5"/>
      <c r="Y127" s="5"/>
      <c r="Z127" s="5"/>
    </row>
    <row r="128" ht="15.75" customHeight="1">
      <c r="A128" s="6" t="s">
        <v>199</v>
      </c>
      <c r="B128" s="6" t="s">
        <v>306</v>
      </c>
      <c r="C128" s="6" t="s">
        <v>26</v>
      </c>
      <c r="D128" s="6" t="s">
        <v>27</v>
      </c>
      <c r="E128" s="6" t="s">
        <v>307</v>
      </c>
      <c r="F128" s="6" t="s">
        <v>308</v>
      </c>
      <c r="G128" s="7">
        <v>139.2</v>
      </c>
      <c r="H128" s="6" t="s">
        <v>309</v>
      </c>
      <c r="I128" s="6" t="s">
        <v>31</v>
      </c>
      <c r="J128" s="8">
        <v>2003.0</v>
      </c>
      <c r="K128" s="6" t="s">
        <v>36</v>
      </c>
      <c r="L128" s="6" t="s">
        <v>38</v>
      </c>
      <c r="M128" s="6" t="s">
        <v>39</v>
      </c>
      <c r="N128" s="6" t="s">
        <v>41</v>
      </c>
      <c r="O128" s="6" t="s">
        <v>310</v>
      </c>
      <c r="P128" s="8" t="s">
        <v>311</v>
      </c>
      <c r="Q128" s="6" t="s">
        <v>46</v>
      </c>
      <c r="R128" s="6" t="s">
        <v>48</v>
      </c>
      <c r="S128" s="6" t="s">
        <v>48</v>
      </c>
      <c r="T128" s="6" t="s">
        <v>51</v>
      </c>
      <c r="U128" s="5"/>
      <c r="V128" s="5"/>
      <c r="W128" s="5"/>
      <c r="X128" s="5"/>
      <c r="Y128" s="5"/>
      <c r="Z128" s="5"/>
    </row>
    <row r="129" ht="15.75" customHeight="1">
      <c r="A129" s="6" t="s">
        <v>199</v>
      </c>
      <c r="B129" s="6" t="s">
        <v>306</v>
      </c>
      <c r="C129" s="6" t="s">
        <v>53</v>
      </c>
      <c r="D129" s="6" t="s">
        <v>54</v>
      </c>
      <c r="E129" s="6" t="s">
        <v>307</v>
      </c>
      <c r="F129" s="6" t="s">
        <v>308</v>
      </c>
      <c r="G129" s="7">
        <v>243.6</v>
      </c>
      <c r="H129" s="6" t="s">
        <v>312</v>
      </c>
      <c r="I129" s="6" t="s">
        <v>84</v>
      </c>
      <c r="J129" s="8">
        <v>539.0</v>
      </c>
      <c r="K129" s="6" t="s">
        <v>85</v>
      </c>
      <c r="L129" s="6" t="s">
        <v>86</v>
      </c>
      <c r="M129" s="6" t="s">
        <v>57</v>
      </c>
      <c r="N129" s="6" t="s">
        <v>58</v>
      </c>
      <c r="O129" s="6" t="s">
        <v>310</v>
      </c>
      <c r="P129" s="8" t="s">
        <v>313</v>
      </c>
      <c r="Q129" s="6" t="s">
        <v>46</v>
      </c>
      <c r="R129" s="6" t="s">
        <v>48</v>
      </c>
      <c r="S129" s="6" t="s">
        <v>48</v>
      </c>
      <c r="T129" s="6" t="s">
        <v>88</v>
      </c>
      <c r="U129" s="5"/>
      <c r="V129" s="5"/>
      <c r="W129" s="5"/>
      <c r="X129" s="5"/>
      <c r="Y129" s="5"/>
      <c r="Z129" s="5"/>
    </row>
    <row r="130" ht="15.75" customHeight="1">
      <c r="A130" s="6" t="s">
        <v>199</v>
      </c>
      <c r="B130" s="6" t="s">
        <v>306</v>
      </c>
      <c r="C130" s="6" t="s">
        <v>62</v>
      </c>
      <c r="D130" s="6" t="s">
        <v>27</v>
      </c>
      <c r="E130" s="6" t="s">
        <v>307</v>
      </c>
      <c r="F130" s="6" t="s">
        <v>308</v>
      </c>
      <c r="G130" s="7">
        <v>127.6</v>
      </c>
      <c r="H130" s="6" t="s">
        <v>83</v>
      </c>
      <c r="I130" s="6" t="s">
        <v>48</v>
      </c>
      <c r="J130" s="8">
        <v>304.0</v>
      </c>
      <c r="K130" s="6" t="s">
        <v>62</v>
      </c>
      <c r="L130" s="6" t="s">
        <v>69</v>
      </c>
      <c r="M130" s="6" t="s">
        <v>70</v>
      </c>
      <c r="N130" s="6" t="s">
        <v>58</v>
      </c>
      <c r="O130" s="6" t="s">
        <v>310</v>
      </c>
      <c r="P130" s="8" t="s">
        <v>314</v>
      </c>
      <c r="Q130" s="6" t="s">
        <v>46</v>
      </c>
      <c r="R130" s="6" t="s">
        <v>48</v>
      </c>
      <c r="S130" s="6" t="s">
        <v>48</v>
      </c>
      <c r="T130" s="6" t="s">
        <v>52</v>
      </c>
      <c r="U130" s="5"/>
      <c r="V130" s="5"/>
      <c r="W130" s="5"/>
      <c r="X130" s="5"/>
      <c r="Y130" s="5"/>
      <c r="Z130" s="5"/>
    </row>
    <row r="131" ht="15.75" customHeight="1">
      <c r="A131" s="6" t="s">
        <v>199</v>
      </c>
      <c r="B131" s="6" t="s">
        <v>306</v>
      </c>
      <c r="C131" s="6" t="s">
        <v>72</v>
      </c>
      <c r="D131" s="6" t="s">
        <v>54</v>
      </c>
      <c r="E131" s="6" t="s">
        <v>307</v>
      </c>
      <c r="F131" s="6" t="s">
        <v>308</v>
      </c>
      <c r="G131" s="7">
        <v>133.39999999999998</v>
      </c>
      <c r="H131" s="6" t="s">
        <v>83</v>
      </c>
      <c r="I131" s="6" t="s">
        <v>48</v>
      </c>
      <c r="J131" s="8">
        <v>3163.0</v>
      </c>
      <c r="K131" s="6" t="s">
        <v>74</v>
      </c>
      <c r="L131" s="6" t="s">
        <v>75</v>
      </c>
      <c r="M131" s="6" t="s">
        <v>76</v>
      </c>
      <c r="N131" s="6" t="s">
        <v>58</v>
      </c>
      <c r="O131" s="6" t="s">
        <v>310</v>
      </c>
      <c r="P131" s="8" t="s">
        <v>313</v>
      </c>
      <c r="Q131" s="6" t="s">
        <v>46</v>
      </c>
      <c r="R131" s="6" t="s">
        <v>48</v>
      </c>
      <c r="S131" s="6" t="s">
        <v>48</v>
      </c>
      <c r="T131" s="6" t="s">
        <v>77</v>
      </c>
      <c r="U131" s="5"/>
      <c r="V131" s="5"/>
      <c r="W131" s="5"/>
      <c r="X131" s="5"/>
      <c r="Y131" s="5"/>
      <c r="Z131" s="5"/>
    </row>
    <row r="132" ht="15.75" customHeight="1">
      <c r="A132" s="6" t="s">
        <v>199</v>
      </c>
      <c r="B132" s="6" t="s">
        <v>306</v>
      </c>
      <c r="C132" s="6" t="s">
        <v>72</v>
      </c>
      <c r="D132" s="6" t="s">
        <v>27</v>
      </c>
      <c r="E132" s="6" t="s">
        <v>307</v>
      </c>
      <c r="F132" s="6" t="s">
        <v>308</v>
      </c>
      <c r="G132" s="7">
        <v>139.2</v>
      </c>
      <c r="H132" s="6" t="s">
        <v>130</v>
      </c>
      <c r="I132" s="6" t="s">
        <v>48</v>
      </c>
      <c r="J132" s="8">
        <v>308.0</v>
      </c>
      <c r="K132" s="6" t="s">
        <v>74</v>
      </c>
      <c r="L132" s="6" t="s">
        <v>75</v>
      </c>
      <c r="M132" s="6" t="s">
        <v>76</v>
      </c>
      <c r="N132" s="6" t="s">
        <v>58</v>
      </c>
      <c r="O132" s="6" t="s">
        <v>310</v>
      </c>
      <c r="P132" s="8" t="s">
        <v>314</v>
      </c>
      <c r="Q132" s="6" t="s">
        <v>46</v>
      </c>
      <c r="R132" s="6" t="s">
        <v>48</v>
      </c>
      <c r="S132" s="6" t="s">
        <v>48</v>
      </c>
      <c r="T132" s="6" t="s">
        <v>77</v>
      </c>
      <c r="U132" s="5"/>
      <c r="V132" s="5"/>
      <c r="W132" s="5"/>
      <c r="X132" s="5"/>
      <c r="Y132" s="5"/>
      <c r="Z132" s="5"/>
    </row>
    <row r="133" ht="15.75" customHeight="1">
      <c r="A133" s="6" t="s">
        <v>315</v>
      </c>
      <c r="B133" s="6" t="s">
        <v>316</v>
      </c>
      <c r="C133" s="6" t="s">
        <v>26</v>
      </c>
      <c r="D133" s="6" t="s">
        <v>129</v>
      </c>
      <c r="E133" s="6" t="s">
        <v>317</v>
      </c>
      <c r="F133" s="6" t="s">
        <v>318</v>
      </c>
      <c r="G133" s="7">
        <v>280.71999999999997</v>
      </c>
      <c r="H133" s="6" t="s">
        <v>319</v>
      </c>
      <c r="I133" s="6" t="s">
        <v>37</v>
      </c>
      <c r="J133" s="8">
        <v>542.0</v>
      </c>
      <c r="K133" s="6" t="s">
        <v>40</v>
      </c>
      <c r="L133" s="6" t="s">
        <v>42</v>
      </c>
      <c r="M133" s="6" t="s">
        <v>44</v>
      </c>
      <c r="N133" s="6" t="s">
        <v>41</v>
      </c>
      <c r="O133" s="6" t="s">
        <v>320</v>
      </c>
      <c r="P133" s="8" t="s">
        <v>321</v>
      </c>
      <c r="Q133" s="6" t="s">
        <v>46</v>
      </c>
      <c r="R133" s="6" t="s">
        <v>48</v>
      </c>
      <c r="S133" s="6" t="s">
        <v>48</v>
      </c>
      <c r="T133" s="6" t="s">
        <v>52</v>
      </c>
      <c r="U133" s="5"/>
      <c r="V133" s="5"/>
      <c r="W133" s="5"/>
      <c r="X133" s="5"/>
      <c r="Y133" s="5"/>
      <c r="Z133" s="5"/>
    </row>
    <row r="134" ht="15.75" customHeight="1">
      <c r="A134" s="6" t="s">
        <v>315</v>
      </c>
      <c r="B134" s="6" t="s">
        <v>316</v>
      </c>
      <c r="C134" s="6" t="s">
        <v>26</v>
      </c>
      <c r="D134" s="6" t="s">
        <v>27</v>
      </c>
      <c r="E134" s="6" t="s">
        <v>317</v>
      </c>
      <c r="F134" s="6" t="s">
        <v>318</v>
      </c>
      <c r="G134" s="7">
        <v>147.32</v>
      </c>
      <c r="H134" s="6" t="s">
        <v>322</v>
      </c>
      <c r="I134" s="6" t="s">
        <v>31</v>
      </c>
      <c r="J134" s="8">
        <v>942.0</v>
      </c>
      <c r="K134" s="6" t="s">
        <v>36</v>
      </c>
      <c r="L134" s="6" t="s">
        <v>38</v>
      </c>
      <c r="M134" s="6" t="s">
        <v>39</v>
      </c>
      <c r="N134" s="6" t="s">
        <v>41</v>
      </c>
      <c r="O134" s="6" t="s">
        <v>320</v>
      </c>
      <c r="P134" s="8" t="s">
        <v>323</v>
      </c>
      <c r="Q134" s="6" t="s">
        <v>46</v>
      </c>
      <c r="R134" s="6" t="s">
        <v>48</v>
      </c>
      <c r="S134" s="6" t="s">
        <v>48</v>
      </c>
      <c r="T134" s="6" t="s">
        <v>51</v>
      </c>
      <c r="U134" s="5"/>
      <c r="V134" s="5"/>
      <c r="W134" s="5"/>
      <c r="X134" s="5"/>
      <c r="Y134" s="5"/>
      <c r="Z134" s="5"/>
    </row>
    <row r="135" ht="15.75" customHeight="1">
      <c r="A135" s="6" t="s">
        <v>315</v>
      </c>
      <c r="B135" s="6" t="s">
        <v>316</v>
      </c>
      <c r="C135" s="6" t="s">
        <v>53</v>
      </c>
      <c r="D135" s="6" t="s">
        <v>54</v>
      </c>
      <c r="E135" s="6" t="s">
        <v>317</v>
      </c>
      <c r="F135" s="6" t="s">
        <v>318</v>
      </c>
      <c r="G135" s="7">
        <v>306.23999999999995</v>
      </c>
      <c r="H135" s="6" t="s">
        <v>219</v>
      </c>
      <c r="I135" s="6" t="s">
        <v>84</v>
      </c>
      <c r="J135" s="8">
        <v>47.0</v>
      </c>
      <c r="K135" s="6" t="s">
        <v>85</v>
      </c>
      <c r="L135" s="6" t="s">
        <v>86</v>
      </c>
      <c r="M135" s="6" t="s">
        <v>57</v>
      </c>
      <c r="N135" s="6" t="s">
        <v>58</v>
      </c>
      <c r="O135" s="6" t="s">
        <v>320</v>
      </c>
      <c r="P135" s="8" t="s">
        <v>324</v>
      </c>
      <c r="Q135" s="6" t="s">
        <v>46</v>
      </c>
      <c r="R135" s="6" t="s">
        <v>48</v>
      </c>
      <c r="S135" s="6" t="s">
        <v>48</v>
      </c>
      <c r="T135" s="6" t="s">
        <v>88</v>
      </c>
      <c r="U135" s="5"/>
      <c r="V135" s="5"/>
      <c r="W135" s="5"/>
      <c r="X135" s="5"/>
      <c r="Y135" s="5"/>
      <c r="Z135" s="5"/>
    </row>
    <row r="136" ht="15.75" customHeight="1">
      <c r="A136" s="6" t="s">
        <v>315</v>
      </c>
      <c r="B136" s="6" t="s">
        <v>316</v>
      </c>
      <c r="C136" s="6" t="s">
        <v>72</v>
      </c>
      <c r="D136" s="6" t="s">
        <v>54</v>
      </c>
      <c r="E136" s="6" t="s">
        <v>317</v>
      </c>
      <c r="F136" s="6" t="s">
        <v>318</v>
      </c>
      <c r="G136" s="7">
        <v>109.03999999999999</v>
      </c>
      <c r="H136" s="6" t="s">
        <v>325</v>
      </c>
      <c r="I136" s="6" t="s">
        <v>48</v>
      </c>
      <c r="J136" s="8">
        <v>324.0</v>
      </c>
      <c r="K136" s="6" t="s">
        <v>74</v>
      </c>
      <c r="L136" s="6" t="s">
        <v>75</v>
      </c>
      <c r="M136" s="6" t="s">
        <v>76</v>
      </c>
      <c r="N136" s="6" t="s">
        <v>58</v>
      </c>
      <c r="O136" s="6" t="s">
        <v>320</v>
      </c>
      <c r="P136" s="8" t="s">
        <v>324</v>
      </c>
      <c r="Q136" s="6" t="s">
        <v>46</v>
      </c>
      <c r="R136" s="6" t="s">
        <v>48</v>
      </c>
      <c r="S136" s="6" t="s">
        <v>48</v>
      </c>
      <c r="T136" s="6" t="s">
        <v>77</v>
      </c>
      <c r="U136" s="5"/>
      <c r="V136" s="5"/>
      <c r="W136" s="5"/>
      <c r="X136" s="5"/>
      <c r="Y136" s="5"/>
      <c r="Z136" s="5"/>
    </row>
    <row r="137" ht="15.75" customHeight="1">
      <c r="A137" s="6" t="s">
        <v>315</v>
      </c>
      <c r="B137" s="6" t="s">
        <v>326</v>
      </c>
      <c r="C137" s="6" t="s">
        <v>26</v>
      </c>
      <c r="D137" s="6" t="s">
        <v>27</v>
      </c>
      <c r="E137" s="6" t="s">
        <v>327</v>
      </c>
      <c r="F137" s="6" t="s">
        <v>328</v>
      </c>
      <c r="G137" s="7">
        <v>147.32</v>
      </c>
      <c r="H137" s="6" t="s">
        <v>329</v>
      </c>
      <c r="I137" s="6" t="s">
        <v>31</v>
      </c>
      <c r="J137" s="8">
        <v>941.0</v>
      </c>
      <c r="K137" s="6" t="s">
        <v>36</v>
      </c>
      <c r="L137" s="6" t="s">
        <v>38</v>
      </c>
      <c r="M137" s="6" t="s">
        <v>39</v>
      </c>
      <c r="N137" s="6" t="s">
        <v>41</v>
      </c>
      <c r="O137" s="6" t="s">
        <v>330</v>
      </c>
      <c r="P137" s="8" t="s">
        <v>331</v>
      </c>
      <c r="Q137" s="6" t="s">
        <v>46</v>
      </c>
      <c r="R137" s="6" t="s">
        <v>48</v>
      </c>
      <c r="S137" s="6" t="s">
        <v>48</v>
      </c>
      <c r="T137" s="6" t="s">
        <v>51</v>
      </c>
      <c r="U137" s="5"/>
      <c r="V137" s="5"/>
      <c r="W137" s="5"/>
      <c r="X137" s="5"/>
      <c r="Y137" s="5"/>
      <c r="Z137" s="5"/>
    </row>
    <row r="138" ht="15.75" customHeight="1">
      <c r="A138" s="6" t="s">
        <v>315</v>
      </c>
      <c r="B138" s="6" t="s">
        <v>326</v>
      </c>
      <c r="C138" s="6" t="s">
        <v>53</v>
      </c>
      <c r="D138" s="6" t="s">
        <v>54</v>
      </c>
      <c r="E138" s="6" t="s">
        <v>327</v>
      </c>
      <c r="F138" s="6" t="s">
        <v>328</v>
      </c>
      <c r="G138" s="7">
        <v>306.23999999999995</v>
      </c>
      <c r="H138" s="6" t="s">
        <v>83</v>
      </c>
      <c r="I138" s="6" t="s">
        <v>84</v>
      </c>
      <c r="J138" s="8">
        <v>1074.0</v>
      </c>
      <c r="K138" s="6" t="s">
        <v>85</v>
      </c>
      <c r="L138" s="6" t="s">
        <v>86</v>
      </c>
      <c r="M138" s="6" t="s">
        <v>57</v>
      </c>
      <c r="N138" s="6" t="s">
        <v>58</v>
      </c>
      <c r="O138" s="6" t="s">
        <v>330</v>
      </c>
      <c r="P138" s="8" t="s">
        <v>332</v>
      </c>
      <c r="Q138" s="6" t="s">
        <v>46</v>
      </c>
      <c r="R138" s="6" t="s">
        <v>48</v>
      </c>
      <c r="S138" s="6" t="s">
        <v>48</v>
      </c>
      <c r="T138" s="6" t="s">
        <v>88</v>
      </c>
      <c r="U138" s="5"/>
      <c r="V138" s="5"/>
      <c r="W138" s="5"/>
      <c r="X138" s="5"/>
      <c r="Y138" s="5"/>
      <c r="Z138" s="5"/>
    </row>
    <row r="139" ht="15.75" customHeight="1">
      <c r="A139" s="6" t="s">
        <v>315</v>
      </c>
      <c r="B139" s="6" t="s">
        <v>333</v>
      </c>
      <c r="C139" s="6" t="s">
        <v>26</v>
      </c>
      <c r="D139" s="6" t="s">
        <v>27</v>
      </c>
      <c r="E139" s="6" t="s">
        <v>334</v>
      </c>
      <c r="F139" s="6" t="s">
        <v>335</v>
      </c>
      <c r="G139" s="7">
        <v>147.32</v>
      </c>
      <c r="H139" s="6" t="s">
        <v>280</v>
      </c>
      <c r="I139" s="6" t="s">
        <v>31</v>
      </c>
      <c r="J139" s="8">
        <v>806.0</v>
      </c>
      <c r="K139" s="6" t="s">
        <v>36</v>
      </c>
      <c r="L139" s="6" t="s">
        <v>38</v>
      </c>
      <c r="M139" s="6" t="s">
        <v>39</v>
      </c>
      <c r="N139" s="6" t="s">
        <v>41</v>
      </c>
      <c r="O139" s="6" t="s">
        <v>336</v>
      </c>
      <c r="P139" s="8" t="s">
        <v>337</v>
      </c>
      <c r="Q139" s="6" t="s">
        <v>46</v>
      </c>
      <c r="R139" s="6" t="s">
        <v>48</v>
      </c>
      <c r="S139" s="6" t="s">
        <v>48</v>
      </c>
      <c r="T139" s="6" t="s">
        <v>51</v>
      </c>
      <c r="U139" s="5"/>
      <c r="V139" s="5"/>
      <c r="W139" s="5"/>
      <c r="X139" s="5"/>
      <c r="Y139" s="5"/>
      <c r="Z139" s="5"/>
    </row>
    <row r="140" ht="15.75" customHeight="1">
      <c r="A140" s="6" t="s">
        <v>315</v>
      </c>
      <c r="B140" s="6" t="s">
        <v>333</v>
      </c>
      <c r="C140" s="6" t="s">
        <v>53</v>
      </c>
      <c r="D140" s="6" t="s">
        <v>54</v>
      </c>
      <c r="E140" s="6" t="s">
        <v>334</v>
      </c>
      <c r="F140" s="6" t="s">
        <v>335</v>
      </c>
      <c r="G140" s="7">
        <v>306.23999999999995</v>
      </c>
      <c r="H140" s="6" t="s">
        <v>338</v>
      </c>
      <c r="I140" s="6" t="s">
        <v>84</v>
      </c>
      <c r="J140" s="8">
        <v>1106.0</v>
      </c>
      <c r="K140" s="6" t="s">
        <v>85</v>
      </c>
      <c r="L140" s="6" t="s">
        <v>86</v>
      </c>
      <c r="M140" s="6" t="s">
        <v>57</v>
      </c>
      <c r="N140" s="6" t="s">
        <v>58</v>
      </c>
      <c r="O140" s="6" t="s">
        <v>336</v>
      </c>
      <c r="P140" s="8" t="s">
        <v>339</v>
      </c>
      <c r="Q140" s="6" t="s">
        <v>46</v>
      </c>
      <c r="R140" s="6" t="s">
        <v>48</v>
      </c>
      <c r="S140" s="6" t="s">
        <v>48</v>
      </c>
      <c r="T140" s="6" t="s">
        <v>88</v>
      </c>
      <c r="U140" s="5"/>
      <c r="V140" s="5"/>
      <c r="W140" s="5"/>
      <c r="X140" s="5"/>
      <c r="Y140" s="5"/>
      <c r="Z140" s="5"/>
    </row>
    <row r="141" ht="15.75" customHeight="1">
      <c r="A141" s="6" t="s">
        <v>315</v>
      </c>
      <c r="B141" s="6" t="s">
        <v>340</v>
      </c>
      <c r="C141" s="6" t="s">
        <v>26</v>
      </c>
      <c r="D141" s="6" t="s">
        <v>27</v>
      </c>
      <c r="E141" s="6" t="s">
        <v>341</v>
      </c>
      <c r="F141" s="6" t="s">
        <v>342</v>
      </c>
      <c r="G141" s="7">
        <v>150.79999999999998</v>
      </c>
      <c r="H141" s="6" t="s">
        <v>343</v>
      </c>
      <c r="I141" s="6" t="s">
        <v>31</v>
      </c>
      <c r="J141" s="8">
        <v>347.0</v>
      </c>
      <c r="K141" s="6" t="s">
        <v>36</v>
      </c>
      <c r="L141" s="6" t="s">
        <v>38</v>
      </c>
      <c r="M141" s="6" t="s">
        <v>39</v>
      </c>
      <c r="N141" s="6" t="s">
        <v>41</v>
      </c>
      <c r="O141" s="6" t="s">
        <v>344</v>
      </c>
      <c r="P141" s="8" t="s">
        <v>345</v>
      </c>
      <c r="Q141" s="6" t="s">
        <v>46</v>
      </c>
      <c r="R141" s="6" t="s">
        <v>48</v>
      </c>
      <c r="S141" s="6" t="s">
        <v>48</v>
      </c>
      <c r="T141" s="6" t="s">
        <v>51</v>
      </c>
      <c r="U141" s="5"/>
      <c r="V141" s="5"/>
      <c r="W141" s="5"/>
      <c r="X141" s="5"/>
      <c r="Y141" s="5"/>
      <c r="Z141" s="5"/>
    </row>
    <row r="142" ht="15.75" customHeight="1">
      <c r="A142" s="6" t="s">
        <v>315</v>
      </c>
      <c r="B142" s="6" t="s">
        <v>340</v>
      </c>
      <c r="C142" s="6" t="s">
        <v>53</v>
      </c>
      <c r="D142" s="6" t="s">
        <v>54</v>
      </c>
      <c r="E142" s="6" t="s">
        <v>341</v>
      </c>
      <c r="F142" s="6" t="s">
        <v>342</v>
      </c>
      <c r="G142" s="7">
        <v>266.79999999999995</v>
      </c>
      <c r="H142" s="6" t="s">
        <v>197</v>
      </c>
      <c r="I142" s="6" t="s">
        <v>84</v>
      </c>
      <c r="J142" s="8">
        <v>981.0</v>
      </c>
      <c r="K142" s="6" t="s">
        <v>85</v>
      </c>
      <c r="L142" s="6" t="s">
        <v>86</v>
      </c>
      <c r="M142" s="6" t="s">
        <v>57</v>
      </c>
      <c r="N142" s="6" t="s">
        <v>58</v>
      </c>
      <c r="O142" s="6" t="s">
        <v>344</v>
      </c>
      <c r="P142" s="8" t="s">
        <v>346</v>
      </c>
      <c r="Q142" s="6" t="s">
        <v>46</v>
      </c>
      <c r="R142" s="6" t="s">
        <v>48</v>
      </c>
      <c r="S142" s="6" t="s">
        <v>48</v>
      </c>
      <c r="T142" s="6" t="s">
        <v>88</v>
      </c>
      <c r="U142" s="5"/>
      <c r="V142" s="5"/>
      <c r="W142" s="5"/>
      <c r="X142" s="5"/>
      <c r="Y142" s="5"/>
      <c r="Z142" s="5"/>
    </row>
    <row r="143" ht="15.75" customHeight="1">
      <c r="A143" s="6" t="s">
        <v>347</v>
      </c>
      <c r="B143" s="6" t="s">
        <v>348</v>
      </c>
      <c r="C143" s="6" t="s">
        <v>26</v>
      </c>
      <c r="D143" s="6" t="s">
        <v>27</v>
      </c>
      <c r="E143" s="6" t="s">
        <v>349</v>
      </c>
      <c r="F143" s="6" t="s">
        <v>350</v>
      </c>
      <c r="G143" s="7">
        <v>153.11999999999998</v>
      </c>
      <c r="H143" s="6" t="s">
        <v>300</v>
      </c>
      <c r="I143" s="6" t="s">
        <v>31</v>
      </c>
      <c r="J143" s="8">
        <v>1289.0</v>
      </c>
      <c r="K143" s="6" t="s">
        <v>36</v>
      </c>
      <c r="L143" s="6" t="s">
        <v>38</v>
      </c>
      <c r="M143" s="6" t="s">
        <v>39</v>
      </c>
      <c r="N143" s="6" t="s">
        <v>41</v>
      </c>
      <c r="O143" s="6" t="s">
        <v>351</v>
      </c>
      <c r="P143" s="8" t="s">
        <v>352</v>
      </c>
      <c r="Q143" s="6" t="s">
        <v>46</v>
      </c>
      <c r="R143" s="6" t="s">
        <v>48</v>
      </c>
      <c r="S143" s="6" t="s">
        <v>48</v>
      </c>
      <c r="T143" s="6" t="s">
        <v>51</v>
      </c>
      <c r="U143" s="5"/>
      <c r="V143" s="5"/>
      <c r="W143" s="5"/>
      <c r="X143" s="5"/>
      <c r="Y143" s="5"/>
      <c r="Z143" s="5"/>
    </row>
    <row r="144" ht="15.75" customHeight="1">
      <c r="A144" s="6" t="s">
        <v>347</v>
      </c>
      <c r="B144" s="6" t="s">
        <v>348</v>
      </c>
      <c r="C144" s="6" t="s">
        <v>53</v>
      </c>
      <c r="D144" s="6" t="s">
        <v>54</v>
      </c>
      <c r="E144" s="6" t="s">
        <v>349</v>
      </c>
      <c r="F144" s="6" t="s">
        <v>350</v>
      </c>
      <c r="G144" s="7">
        <v>331.76</v>
      </c>
      <c r="H144" s="6" t="s">
        <v>175</v>
      </c>
      <c r="I144" s="6" t="s">
        <v>84</v>
      </c>
      <c r="J144" s="8">
        <v>3368.0</v>
      </c>
      <c r="K144" s="6" t="s">
        <v>85</v>
      </c>
      <c r="L144" s="6" t="s">
        <v>86</v>
      </c>
      <c r="M144" s="6" t="s">
        <v>57</v>
      </c>
      <c r="N144" s="6" t="s">
        <v>58</v>
      </c>
      <c r="O144" s="6" t="s">
        <v>351</v>
      </c>
      <c r="P144" s="8" t="s">
        <v>353</v>
      </c>
      <c r="Q144" s="6" t="s">
        <v>46</v>
      </c>
      <c r="R144" s="6" t="s">
        <v>48</v>
      </c>
      <c r="S144" s="6" t="s">
        <v>48</v>
      </c>
      <c r="T144" s="6" t="s">
        <v>88</v>
      </c>
      <c r="U144" s="5"/>
      <c r="V144" s="5"/>
      <c r="W144" s="5"/>
      <c r="X144" s="5"/>
      <c r="Y144" s="5"/>
      <c r="Z144" s="5"/>
    </row>
    <row r="145" ht="15.75" customHeight="1">
      <c r="A145" s="6" t="s">
        <v>347</v>
      </c>
      <c r="B145" s="6" t="s">
        <v>354</v>
      </c>
      <c r="C145" s="6" t="s">
        <v>26</v>
      </c>
      <c r="D145" s="6" t="s">
        <v>27</v>
      </c>
      <c r="E145" s="6" t="s">
        <v>355</v>
      </c>
      <c r="F145" s="6" t="s">
        <v>356</v>
      </c>
      <c r="G145" s="7">
        <v>156.6</v>
      </c>
      <c r="H145" s="6" t="s">
        <v>64</v>
      </c>
      <c r="I145" s="6" t="s">
        <v>31</v>
      </c>
      <c r="J145" s="8">
        <v>1997.0</v>
      </c>
      <c r="K145" s="6" t="s">
        <v>36</v>
      </c>
      <c r="L145" s="6" t="s">
        <v>38</v>
      </c>
      <c r="M145" s="6" t="s">
        <v>39</v>
      </c>
      <c r="N145" s="6" t="s">
        <v>41</v>
      </c>
      <c r="O145" s="6" t="s">
        <v>357</v>
      </c>
      <c r="P145" s="8" t="s">
        <v>358</v>
      </c>
      <c r="Q145" s="6" t="s">
        <v>359</v>
      </c>
      <c r="R145" s="6" t="s">
        <v>48</v>
      </c>
      <c r="S145" s="6" t="s">
        <v>48</v>
      </c>
      <c r="T145" s="6" t="s">
        <v>51</v>
      </c>
      <c r="U145" s="5"/>
      <c r="V145" s="5"/>
      <c r="W145" s="5"/>
      <c r="X145" s="5"/>
      <c r="Y145" s="5"/>
      <c r="Z145" s="5"/>
    </row>
    <row r="146" ht="15.75" customHeight="1">
      <c r="A146" s="6" t="s">
        <v>347</v>
      </c>
      <c r="B146" s="6" t="s">
        <v>354</v>
      </c>
      <c r="C146" s="6" t="s">
        <v>53</v>
      </c>
      <c r="D146" s="6" t="s">
        <v>54</v>
      </c>
      <c r="E146" s="6" t="s">
        <v>355</v>
      </c>
      <c r="F146" s="6" t="s">
        <v>356</v>
      </c>
      <c r="G146" s="7">
        <v>348.0</v>
      </c>
      <c r="H146" s="6" t="s">
        <v>360</v>
      </c>
      <c r="I146" s="6" t="s">
        <v>84</v>
      </c>
      <c r="J146" s="8">
        <v>868.0</v>
      </c>
      <c r="K146" s="6" t="s">
        <v>85</v>
      </c>
      <c r="L146" s="6" t="s">
        <v>86</v>
      </c>
      <c r="M146" s="6" t="s">
        <v>57</v>
      </c>
      <c r="N146" s="6" t="s">
        <v>58</v>
      </c>
      <c r="O146" s="6" t="s">
        <v>357</v>
      </c>
      <c r="P146" s="8" t="s">
        <v>361</v>
      </c>
      <c r="Q146" s="6" t="s">
        <v>359</v>
      </c>
      <c r="R146" s="6" t="s">
        <v>48</v>
      </c>
      <c r="S146" s="6" t="s">
        <v>48</v>
      </c>
      <c r="T146" s="6" t="s">
        <v>88</v>
      </c>
      <c r="U146" s="5"/>
      <c r="V146" s="5"/>
      <c r="W146" s="5"/>
      <c r="X146" s="5"/>
      <c r="Y146" s="5"/>
      <c r="Z146" s="5"/>
    </row>
    <row r="147" ht="15.75" customHeight="1">
      <c r="A147" s="6" t="s">
        <v>347</v>
      </c>
      <c r="B147" s="6" t="s">
        <v>362</v>
      </c>
      <c r="C147" s="6" t="s">
        <v>26</v>
      </c>
      <c r="D147" s="6" t="s">
        <v>27</v>
      </c>
      <c r="E147" s="6" t="s">
        <v>363</v>
      </c>
      <c r="F147" s="6" t="s">
        <v>364</v>
      </c>
      <c r="G147" s="7">
        <v>156.6</v>
      </c>
      <c r="H147" s="6" t="s">
        <v>83</v>
      </c>
      <c r="I147" s="6" t="s">
        <v>31</v>
      </c>
      <c r="J147" s="8">
        <v>12473.0</v>
      </c>
      <c r="K147" s="6" t="s">
        <v>36</v>
      </c>
      <c r="L147" s="6" t="s">
        <v>38</v>
      </c>
      <c r="M147" s="6" t="s">
        <v>39</v>
      </c>
      <c r="N147" s="6" t="s">
        <v>41</v>
      </c>
      <c r="O147" s="6" t="s">
        <v>365</v>
      </c>
      <c r="P147" s="8" t="s">
        <v>366</v>
      </c>
      <c r="Q147" s="6" t="s">
        <v>359</v>
      </c>
      <c r="R147" s="6" t="s">
        <v>48</v>
      </c>
      <c r="S147" s="6" t="s">
        <v>48</v>
      </c>
      <c r="T147" s="6" t="s">
        <v>51</v>
      </c>
      <c r="U147" s="5"/>
      <c r="V147" s="5"/>
      <c r="W147" s="5"/>
      <c r="X147" s="5"/>
      <c r="Y147" s="5"/>
      <c r="Z147" s="5"/>
    </row>
    <row r="148" ht="15.75" customHeight="1">
      <c r="A148" s="6" t="s">
        <v>347</v>
      </c>
      <c r="B148" s="6" t="s">
        <v>362</v>
      </c>
      <c r="C148" s="6" t="s">
        <v>53</v>
      </c>
      <c r="D148" s="6" t="s">
        <v>54</v>
      </c>
      <c r="E148" s="6" t="s">
        <v>363</v>
      </c>
      <c r="F148" s="6" t="s">
        <v>364</v>
      </c>
      <c r="G148" s="7">
        <v>348.0</v>
      </c>
      <c r="H148" s="6" t="s">
        <v>367</v>
      </c>
      <c r="I148" s="6" t="s">
        <v>84</v>
      </c>
      <c r="J148" s="8">
        <v>872.0</v>
      </c>
      <c r="K148" s="6" t="s">
        <v>85</v>
      </c>
      <c r="L148" s="6" t="s">
        <v>86</v>
      </c>
      <c r="M148" s="6" t="s">
        <v>57</v>
      </c>
      <c r="N148" s="6" t="s">
        <v>58</v>
      </c>
      <c r="O148" s="6" t="s">
        <v>365</v>
      </c>
      <c r="P148" s="8" t="s">
        <v>368</v>
      </c>
      <c r="Q148" s="6" t="s">
        <v>359</v>
      </c>
      <c r="R148" s="6" t="s">
        <v>48</v>
      </c>
      <c r="S148" s="6" t="s">
        <v>48</v>
      </c>
      <c r="T148" s="6" t="s">
        <v>88</v>
      </c>
      <c r="U148" s="5"/>
      <c r="V148" s="5"/>
      <c r="W148" s="5"/>
      <c r="X148" s="5"/>
      <c r="Y148" s="5"/>
      <c r="Z148" s="5"/>
    </row>
    <row r="149" ht="15.75" customHeight="1">
      <c r="A149" s="6" t="s">
        <v>347</v>
      </c>
      <c r="B149" s="6" t="s">
        <v>369</v>
      </c>
      <c r="C149" s="6" t="s">
        <v>26</v>
      </c>
      <c r="D149" s="6" t="s">
        <v>63</v>
      </c>
      <c r="E149" s="6" t="s">
        <v>370</v>
      </c>
      <c r="F149" s="6" t="s">
        <v>371</v>
      </c>
      <c r="G149" s="7">
        <v>348.0</v>
      </c>
      <c r="H149" s="6" t="s">
        <v>83</v>
      </c>
      <c r="I149" s="6" t="s">
        <v>37</v>
      </c>
      <c r="J149" s="8">
        <v>15777.0</v>
      </c>
      <c r="K149" s="6" t="s">
        <v>40</v>
      </c>
      <c r="L149" s="6" t="s">
        <v>42</v>
      </c>
      <c r="M149" s="6" t="s">
        <v>44</v>
      </c>
      <c r="N149" s="6" t="s">
        <v>41</v>
      </c>
      <c r="O149" s="6" t="s">
        <v>173</v>
      </c>
      <c r="P149" s="8" t="s">
        <v>372</v>
      </c>
      <c r="Q149" s="6" t="s">
        <v>46</v>
      </c>
      <c r="R149" s="6" t="s">
        <v>48</v>
      </c>
      <c r="S149" s="6" t="s">
        <v>48</v>
      </c>
      <c r="T149" s="6" t="s">
        <v>52</v>
      </c>
      <c r="U149" s="5"/>
      <c r="V149" s="5"/>
      <c r="W149" s="5"/>
      <c r="X149" s="5"/>
      <c r="Y149" s="5"/>
      <c r="Z149" s="5"/>
    </row>
    <row r="150" ht="15.75" customHeight="1">
      <c r="A150" s="6" t="s">
        <v>347</v>
      </c>
      <c r="B150" s="6" t="s">
        <v>369</v>
      </c>
      <c r="C150" s="6" t="s">
        <v>62</v>
      </c>
      <c r="D150" s="6" t="s">
        <v>63</v>
      </c>
      <c r="E150" s="6" t="s">
        <v>370</v>
      </c>
      <c r="F150" s="6" t="s">
        <v>371</v>
      </c>
      <c r="G150" s="7">
        <v>126.44</v>
      </c>
      <c r="H150" s="6" t="s">
        <v>83</v>
      </c>
      <c r="I150" s="6" t="s">
        <v>48</v>
      </c>
      <c r="J150" s="8">
        <v>1919.0</v>
      </c>
      <c r="K150" s="6" t="s">
        <v>62</v>
      </c>
      <c r="L150" s="6" t="s">
        <v>69</v>
      </c>
      <c r="M150" s="6" t="s">
        <v>70</v>
      </c>
      <c r="N150" s="6" t="s">
        <v>58</v>
      </c>
      <c r="O150" s="6" t="s">
        <v>173</v>
      </c>
      <c r="P150" s="8" t="s">
        <v>373</v>
      </c>
      <c r="Q150" s="6" t="s">
        <v>46</v>
      </c>
      <c r="R150" s="6" t="s">
        <v>48</v>
      </c>
      <c r="S150" s="6" t="s">
        <v>48</v>
      </c>
      <c r="T150" s="6" t="s">
        <v>52</v>
      </c>
      <c r="U150" s="5"/>
      <c r="V150" s="5"/>
      <c r="W150" s="5"/>
      <c r="X150" s="5"/>
      <c r="Y150" s="5"/>
      <c r="Z150" s="5"/>
    </row>
    <row r="151" ht="15.75" customHeight="1">
      <c r="A151" s="6" t="s">
        <v>347</v>
      </c>
      <c r="B151" s="6" t="s">
        <v>369</v>
      </c>
      <c r="C151" s="6" t="s">
        <v>374</v>
      </c>
      <c r="D151" s="6" t="s">
        <v>63</v>
      </c>
      <c r="E151" s="6" t="s">
        <v>370</v>
      </c>
      <c r="F151" s="6" t="s">
        <v>371</v>
      </c>
      <c r="G151" s="7">
        <v>126.44</v>
      </c>
      <c r="H151" s="6" t="s">
        <v>83</v>
      </c>
      <c r="I151" s="6" t="s">
        <v>48</v>
      </c>
      <c r="J151" s="8">
        <v>15596.0</v>
      </c>
      <c r="K151" s="6" t="s">
        <v>375</v>
      </c>
      <c r="L151" s="6" t="s">
        <v>376</v>
      </c>
      <c r="M151" s="6" t="s">
        <v>377</v>
      </c>
      <c r="N151" s="6" t="s">
        <v>58</v>
      </c>
      <c r="O151" s="6" t="s">
        <v>173</v>
      </c>
      <c r="P151" s="8" t="s">
        <v>373</v>
      </c>
      <c r="Q151" s="6" t="s">
        <v>46</v>
      </c>
      <c r="R151" s="6" t="s">
        <v>48</v>
      </c>
      <c r="S151" s="6" t="s">
        <v>48</v>
      </c>
      <c r="T151" s="6" t="s">
        <v>77</v>
      </c>
      <c r="U151" s="5"/>
      <c r="V151" s="5"/>
      <c r="W151" s="5"/>
      <c r="X151" s="5"/>
      <c r="Y151" s="5"/>
      <c r="Z151" s="5"/>
    </row>
    <row r="152" ht="15.75" customHeight="1">
      <c r="A152" s="6" t="s">
        <v>347</v>
      </c>
      <c r="B152" s="6" t="s">
        <v>378</v>
      </c>
      <c r="C152" s="6" t="s">
        <v>26</v>
      </c>
      <c r="D152" s="6" t="s">
        <v>63</v>
      </c>
      <c r="E152" s="6" t="s">
        <v>379</v>
      </c>
      <c r="F152" s="6" t="s">
        <v>380</v>
      </c>
      <c r="G152" s="7">
        <v>348.0</v>
      </c>
      <c r="H152" s="6" t="s">
        <v>83</v>
      </c>
      <c r="I152" s="6" t="s">
        <v>37</v>
      </c>
      <c r="J152" s="8">
        <v>15778.0</v>
      </c>
      <c r="K152" s="6" t="s">
        <v>40</v>
      </c>
      <c r="L152" s="6" t="s">
        <v>42</v>
      </c>
      <c r="M152" s="6" t="s">
        <v>44</v>
      </c>
      <c r="N152" s="6" t="s">
        <v>41</v>
      </c>
      <c r="O152" s="6" t="s">
        <v>381</v>
      </c>
      <c r="P152" s="8" t="s">
        <v>382</v>
      </c>
      <c r="Q152" s="6" t="s">
        <v>46</v>
      </c>
      <c r="R152" s="6" t="s">
        <v>48</v>
      </c>
      <c r="S152" s="6" t="s">
        <v>48</v>
      </c>
      <c r="T152" s="6" t="s">
        <v>52</v>
      </c>
      <c r="U152" s="5"/>
      <c r="V152" s="5"/>
      <c r="W152" s="5"/>
      <c r="X152" s="5"/>
      <c r="Y152" s="5"/>
      <c r="Z152" s="5"/>
    </row>
    <row r="153" ht="15.75" customHeight="1">
      <c r="A153" s="6" t="s">
        <v>347</v>
      </c>
      <c r="B153" s="6" t="s">
        <v>378</v>
      </c>
      <c r="C153" s="6" t="s">
        <v>62</v>
      </c>
      <c r="D153" s="6" t="s">
        <v>63</v>
      </c>
      <c r="E153" s="6" t="s">
        <v>379</v>
      </c>
      <c r="F153" s="6" t="s">
        <v>380</v>
      </c>
      <c r="G153" s="7">
        <v>126.44</v>
      </c>
      <c r="H153" s="6" t="s">
        <v>83</v>
      </c>
      <c r="I153" s="6" t="s">
        <v>48</v>
      </c>
      <c r="J153" s="8">
        <v>7390.0</v>
      </c>
      <c r="K153" s="6" t="s">
        <v>62</v>
      </c>
      <c r="L153" s="6" t="s">
        <v>65</v>
      </c>
      <c r="M153" s="6" t="s">
        <v>66</v>
      </c>
      <c r="N153" s="6" t="s">
        <v>58</v>
      </c>
      <c r="O153" s="6" t="s">
        <v>381</v>
      </c>
      <c r="P153" s="8" t="s">
        <v>383</v>
      </c>
      <c r="Q153" s="6" t="s">
        <v>46</v>
      </c>
      <c r="R153" s="6" t="s">
        <v>48</v>
      </c>
      <c r="S153" s="6" t="s">
        <v>48</v>
      </c>
      <c r="T153" s="6" t="s">
        <v>52</v>
      </c>
      <c r="U153" s="5"/>
      <c r="V153" s="5"/>
      <c r="W153" s="5"/>
      <c r="X153" s="5"/>
      <c r="Y153" s="5"/>
      <c r="Z153" s="5"/>
    </row>
    <row r="154" ht="15.75" customHeight="1">
      <c r="A154" s="6" t="s">
        <v>347</v>
      </c>
      <c r="B154" s="6" t="s">
        <v>384</v>
      </c>
      <c r="C154" s="6" t="s">
        <v>26</v>
      </c>
      <c r="D154" s="6" t="s">
        <v>63</v>
      </c>
      <c r="E154" s="6" t="s">
        <v>385</v>
      </c>
      <c r="F154" s="6" t="s">
        <v>386</v>
      </c>
      <c r="G154" s="7">
        <v>348.0</v>
      </c>
      <c r="H154" s="6" t="s">
        <v>83</v>
      </c>
      <c r="I154" s="6" t="s">
        <v>37</v>
      </c>
      <c r="J154" s="8">
        <v>15756.0</v>
      </c>
      <c r="K154" s="6" t="s">
        <v>40</v>
      </c>
      <c r="L154" s="6" t="s">
        <v>42</v>
      </c>
      <c r="M154" s="6" t="s">
        <v>44</v>
      </c>
      <c r="N154" s="6" t="s">
        <v>41</v>
      </c>
      <c r="O154" s="6" t="s">
        <v>387</v>
      </c>
      <c r="P154" s="8" t="s">
        <v>388</v>
      </c>
      <c r="Q154" s="6" t="s">
        <v>46</v>
      </c>
      <c r="R154" s="6" t="s">
        <v>48</v>
      </c>
      <c r="S154" s="6" t="s">
        <v>48</v>
      </c>
      <c r="T154" s="6" t="s">
        <v>52</v>
      </c>
      <c r="U154" s="5"/>
      <c r="V154" s="5"/>
      <c r="W154" s="5"/>
      <c r="X154" s="5"/>
      <c r="Y154" s="5"/>
      <c r="Z154" s="5"/>
    </row>
    <row r="155" ht="15.75" customHeight="1">
      <c r="A155" s="6" t="s">
        <v>347</v>
      </c>
      <c r="B155" s="6" t="s">
        <v>384</v>
      </c>
      <c r="C155" s="6" t="s">
        <v>62</v>
      </c>
      <c r="D155" s="6" t="s">
        <v>63</v>
      </c>
      <c r="E155" s="6" t="s">
        <v>385</v>
      </c>
      <c r="F155" s="6" t="s">
        <v>386</v>
      </c>
      <c r="G155" s="7">
        <v>126.44</v>
      </c>
      <c r="H155" s="6" t="s">
        <v>219</v>
      </c>
      <c r="I155" s="6" t="s">
        <v>48</v>
      </c>
      <c r="J155" s="8">
        <v>7386.0</v>
      </c>
      <c r="K155" s="6" t="s">
        <v>62</v>
      </c>
      <c r="L155" s="6" t="s">
        <v>65</v>
      </c>
      <c r="M155" s="6" t="s">
        <v>66</v>
      </c>
      <c r="N155" s="6" t="s">
        <v>58</v>
      </c>
      <c r="O155" s="6" t="s">
        <v>387</v>
      </c>
      <c r="P155" s="8" t="s">
        <v>389</v>
      </c>
      <c r="Q155" s="6" t="s">
        <v>46</v>
      </c>
      <c r="R155" s="6" t="s">
        <v>48</v>
      </c>
      <c r="S155" s="6" t="s">
        <v>48</v>
      </c>
      <c r="T155" s="6" t="s">
        <v>52</v>
      </c>
      <c r="U155" s="5"/>
      <c r="V155" s="5"/>
      <c r="W155" s="5"/>
      <c r="X155" s="5"/>
      <c r="Y155" s="5"/>
      <c r="Z155" s="5"/>
    </row>
    <row r="156" ht="15.75" customHeight="1">
      <c r="A156" s="6" t="s">
        <v>347</v>
      </c>
      <c r="B156" s="6" t="s">
        <v>384</v>
      </c>
      <c r="C156" s="6" t="s">
        <v>62</v>
      </c>
      <c r="D156" s="6" t="s">
        <v>54</v>
      </c>
      <c r="E156" s="6" t="s">
        <v>385</v>
      </c>
      <c r="F156" s="6" t="s">
        <v>386</v>
      </c>
      <c r="G156" s="7">
        <v>168.2</v>
      </c>
      <c r="H156" s="6" t="s">
        <v>219</v>
      </c>
      <c r="I156" s="6" t="s">
        <v>48</v>
      </c>
      <c r="J156" s="8">
        <v>15720.0</v>
      </c>
      <c r="K156" s="6" t="s">
        <v>62</v>
      </c>
      <c r="L156" s="6" t="s">
        <v>69</v>
      </c>
      <c r="M156" s="6" t="s">
        <v>70</v>
      </c>
      <c r="N156" s="6" t="s">
        <v>58</v>
      </c>
      <c r="O156" s="6" t="s">
        <v>387</v>
      </c>
      <c r="P156" s="8" t="s">
        <v>390</v>
      </c>
      <c r="Q156" s="6" t="s">
        <v>46</v>
      </c>
      <c r="R156" s="6" t="s">
        <v>48</v>
      </c>
      <c r="S156" s="6" t="s">
        <v>48</v>
      </c>
      <c r="T156" s="6" t="s">
        <v>52</v>
      </c>
      <c r="U156" s="5"/>
      <c r="V156" s="5"/>
      <c r="W156" s="5"/>
      <c r="X156" s="5"/>
      <c r="Y156" s="5"/>
      <c r="Z156" s="5"/>
    </row>
    <row r="157" ht="15.75" customHeight="1">
      <c r="A157" s="6" t="s">
        <v>347</v>
      </c>
      <c r="B157" s="6" t="s">
        <v>384</v>
      </c>
      <c r="C157" s="6" t="s">
        <v>374</v>
      </c>
      <c r="D157" s="6" t="s">
        <v>63</v>
      </c>
      <c r="E157" s="6" t="s">
        <v>385</v>
      </c>
      <c r="F157" s="6" t="s">
        <v>386</v>
      </c>
      <c r="G157" s="7">
        <v>126.44</v>
      </c>
      <c r="H157" s="6" t="s">
        <v>219</v>
      </c>
      <c r="I157" s="6" t="s">
        <v>48</v>
      </c>
      <c r="J157" s="8">
        <v>15597.0</v>
      </c>
      <c r="K157" s="6" t="s">
        <v>375</v>
      </c>
      <c r="L157" s="6" t="s">
        <v>376</v>
      </c>
      <c r="M157" s="6" t="s">
        <v>377</v>
      </c>
      <c r="N157" s="6" t="s">
        <v>58</v>
      </c>
      <c r="O157" s="6" t="s">
        <v>387</v>
      </c>
      <c r="P157" s="8" t="s">
        <v>389</v>
      </c>
      <c r="Q157" s="6" t="s">
        <v>46</v>
      </c>
      <c r="R157" s="6" t="s">
        <v>48</v>
      </c>
      <c r="S157" s="6" t="s">
        <v>48</v>
      </c>
      <c r="T157" s="6" t="s">
        <v>77</v>
      </c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10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10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10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10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10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10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10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10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10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10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10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10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10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10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10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10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10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1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1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1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1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1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1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1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1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10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1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1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1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10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10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10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10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10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10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10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10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10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10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10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10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10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10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10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10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10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10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10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10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10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1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1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1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1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10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1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1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1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1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1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10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1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1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1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1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1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1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1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1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10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10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10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10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10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10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10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10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10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10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10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10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10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10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10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10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10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10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10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10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10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10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10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10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10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10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10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10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10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10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1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1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1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1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10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10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10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10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1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10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10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10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10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10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10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10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10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10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10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10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10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1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1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10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1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10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1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1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1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10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10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10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10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10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10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10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10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10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10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10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10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10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10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10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10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10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10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10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10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10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10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10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10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10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10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10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10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10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10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10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10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10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10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10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10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10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10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10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10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10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10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10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10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10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10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10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10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10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10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10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10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10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10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10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10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10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10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10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10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10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10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10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10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10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10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10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10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10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10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10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10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10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10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10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10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10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10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10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10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10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10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10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10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10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10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10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10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10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10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10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10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10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10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10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10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1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1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1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10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10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10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10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10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10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1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10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1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1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1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1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10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10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1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1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10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1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1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10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1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10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1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1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1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10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10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1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1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1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1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1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1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10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10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10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10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10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10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10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10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10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10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10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10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10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10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10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10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10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10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10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10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10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10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10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10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10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1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1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1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10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10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10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10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10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10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10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10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10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10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10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10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10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10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10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10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10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10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10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10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10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10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10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10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10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10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10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10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10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10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10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10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10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10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10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10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10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10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10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10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10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10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10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10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10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10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10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10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10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10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10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10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10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10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10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10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10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10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10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10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10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10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10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10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10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10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10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10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10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10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10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10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10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10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10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10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10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10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10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10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10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10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10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10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10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10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10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10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10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10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10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10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10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10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10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10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10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10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10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10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10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10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10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10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10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10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10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10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10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10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10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10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10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10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10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10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10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10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10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10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10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10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10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10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10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10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10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10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10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10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10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10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10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10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10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10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10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10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10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10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10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10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10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10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10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10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10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10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10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10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10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10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10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10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10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10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10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10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10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10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10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10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10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10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10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10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10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10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10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10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10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10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10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10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10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10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10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10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10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10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10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10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10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10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10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10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10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10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10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10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10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10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10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10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10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10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10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10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10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10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10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10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10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10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10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10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10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10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10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10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10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10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10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10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10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10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10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10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10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10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10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10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10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10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10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10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10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10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10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10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10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10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10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10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10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10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10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10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10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10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10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10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10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10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10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10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10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10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10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10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10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10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10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10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10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10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10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10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10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10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10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10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10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10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10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10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10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10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10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10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10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10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10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10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10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10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10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10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10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10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10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10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10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10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10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10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10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10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10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10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10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10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10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10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10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10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10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10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10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10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10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10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10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10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10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10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10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10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10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10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10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10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10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10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10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10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10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10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10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10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10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10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10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10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10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10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10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10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10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10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10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10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10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10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10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10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10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10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10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10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10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10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10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10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10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10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10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10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10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10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10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10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10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10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10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10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10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10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10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10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10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10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10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10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10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10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10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10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10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10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10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10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10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10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10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10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10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10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10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10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10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10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10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10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10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10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10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10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10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10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10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10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10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10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10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10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10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10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10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10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10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10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10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10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10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10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10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10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10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10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10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10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10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10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10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10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10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10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10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10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10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10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10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10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10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10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10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10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10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10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10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10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10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10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10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10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10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10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10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10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10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10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10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10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10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10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10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10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10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10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10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10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10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10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10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10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10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10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10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10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10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10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10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10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10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10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10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10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10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10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10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10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10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10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10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10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10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10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10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10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10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10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10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10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10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10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10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10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10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10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10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10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10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10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10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10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10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10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10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10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10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10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10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10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10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10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10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10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10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10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10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10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10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10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10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10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10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10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10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10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10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10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10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10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10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10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10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10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10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10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10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10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10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10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10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10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10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10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10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10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10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10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10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10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10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10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10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10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10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10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10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10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10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10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10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autoFilter ref="$A$1:$Z$157"/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2.43"/>
    <col customWidth="1" min="3" max="3" width="17.43"/>
    <col customWidth="1" min="4" max="4" width="10.71"/>
    <col customWidth="1" min="5" max="5" width="66.43"/>
    <col customWidth="1" min="6" max="6" width="59.0"/>
    <col customWidth="1" min="7" max="7" width="10.71"/>
    <col customWidth="1" min="8" max="8" width="11.71"/>
    <col customWidth="1" min="9" max="9" width="13.43"/>
    <col customWidth="1" min="10" max="10" width="13.71"/>
    <col customWidth="1" min="11" max="11" width="14.43"/>
    <col customWidth="1" min="12" max="12" width="40.43"/>
    <col customWidth="1" min="13" max="13" width="76.86"/>
    <col customWidth="1" min="14" max="14" width="10.71"/>
    <col customWidth="1" min="15" max="15" width="62.14"/>
    <col customWidth="1" min="16" max="16" width="93.43"/>
    <col customWidth="1" min="17" max="17" width="21.86"/>
    <col customWidth="1" min="18" max="23" width="10.71"/>
    <col customWidth="1" min="24" max="24" width="119.14"/>
    <col customWidth="1" min="25" max="30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8</v>
      </c>
      <c r="I1" s="4" t="s">
        <v>11</v>
      </c>
      <c r="J1" s="4" t="s">
        <v>13</v>
      </c>
      <c r="K1" s="4" t="s">
        <v>15</v>
      </c>
      <c r="L1" s="1" t="s">
        <v>7</v>
      </c>
      <c r="M1" s="1" t="s">
        <v>9</v>
      </c>
      <c r="N1" s="1" t="s">
        <v>10</v>
      </c>
      <c r="O1" s="1" t="s">
        <v>12</v>
      </c>
      <c r="P1" s="1" t="s">
        <v>14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/>
      <c r="Z1" s="5"/>
      <c r="AA1" s="5"/>
      <c r="AB1" s="5"/>
      <c r="AC1" s="5"/>
      <c r="AD1" s="5"/>
    </row>
    <row r="2" ht="18.75" customHeight="1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7">
        <v>127.6</v>
      </c>
      <c r="H2" s="9">
        <f t="shared" ref="H2:H157" si="1">(I2-54.5)/2</f>
        <v>102.8760504</v>
      </c>
      <c r="I2" s="9">
        <f t="shared" ref="I2:I157" si="2">((14.5+40+(G2*2))/1.19)</f>
        <v>260.2521008</v>
      </c>
      <c r="J2" s="9">
        <f t="shared" ref="J2:J157" si="3">((14.5+40+(H2*2)))</f>
        <v>260.2521008</v>
      </c>
      <c r="K2" s="9">
        <f t="shared" ref="K2:K157" si="4">J2*1.19</f>
        <v>309.7</v>
      </c>
      <c r="L2" s="6" t="s">
        <v>30</v>
      </c>
      <c r="M2" s="6" t="s">
        <v>31</v>
      </c>
      <c r="N2" s="8">
        <v>15774.0</v>
      </c>
      <c r="O2" s="6" t="s">
        <v>36</v>
      </c>
      <c r="P2" s="6" t="s">
        <v>38</v>
      </c>
      <c r="Q2" s="6" t="s">
        <v>39</v>
      </c>
      <c r="R2" s="6" t="s">
        <v>41</v>
      </c>
      <c r="S2" s="6" t="s">
        <v>43</v>
      </c>
      <c r="T2" s="8" t="s">
        <v>45</v>
      </c>
      <c r="U2" s="6" t="s">
        <v>46</v>
      </c>
      <c r="V2" s="6" t="s">
        <v>48</v>
      </c>
      <c r="W2" s="6" t="s">
        <v>48</v>
      </c>
      <c r="X2" s="6" t="s">
        <v>51</v>
      </c>
      <c r="Y2" s="5"/>
      <c r="Z2" s="5"/>
      <c r="AA2" s="5"/>
      <c r="AB2" s="5"/>
      <c r="AC2" s="5"/>
      <c r="AD2" s="5"/>
    </row>
    <row r="3">
      <c r="A3" s="6" t="s">
        <v>24</v>
      </c>
      <c r="B3" s="6" t="s">
        <v>32</v>
      </c>
      <c r="C3" s="6" t="s">
        <v>26</v>
      </c>
      <c r="D3" s="6" t="s">
        <v>27</v>
      </c>
      <c r="E3" s="6" t="s">
        <v>33</v>
      </c>
      <c r="F3" s="6" t="s">
        <v>34</v>
      </c>
      <c r="G3" s="7">
        <v>127.6</v>
      </c>
      <c r="H3" s="9">
        <f t="shared" si="1"/>
        <v>102.8760504</v>
      </c>
      <c r="I3" s="9">
        <f t="shared" si="2"/>
        <v>260.2521008</v>
      </c>
      <c r="J3" s="9">
        <f t="shared" si="3"/>
        <v>260.2521008</v>
      </c>
      <c r="K3" s="9">
        <f t="shared" si="4"/>
        <v>309.7</v>
      </c>
      <c r="L3" s="6" t="s">
        <v>35</v>
      </c>
      <c r="M3" s="6" t="s">
        <v>37</v>
      </c>
      <c r="N3" s="8">
        <v>363.0</v>
      </c>
      <c r="O3" s="6" t="s">
        <v>40</v>
      </c>
      <c r="P3" s="6" t="s">
        <v>42</v>
      </c>
      <c r="Q3" s="6" t="s">
        <v>44</v>
      </c>
      <c r="R3" s="6" t="s">
        <v>41</v>
      </c>
      <c r="S3" s="6" t="s">
        <v>47</v>
      </c>
      <c r="T3" s="8" t="s">
        <v>49</v>
      </c>
      <c r="U3" s="6" t="s">
        <v>50</v>
      </c>
      <c r="V3" s="6" t="s">
        <v>48</v>
      </c>
      <c r="W3" s="6" t="s">
        <v>48</v>
      </c>
      <c r="X3" s="6" t="s">
        <v>52</v>
      </c>
      <c r="Y3" s="5"/>
      <c r="Z3" s="5"/>
      <c r="AA3" s="5"/>
      <c r="AB3" s="5"/>
      <c r="AC3" s="5"/>
      <c r="AD3" s="5"/>
    </row>
    <row r="4">
      <c r="A4" s="6" t="s">
        <v>24</v>
      </c>
      <c r="B4" s="6" t="s">
        <v>32</v>
      </c>
      <c r="C4" s="6" t="s">
        <v>53</v>
      </c>
      <c r="D4" s="6" t="s">
        <v>54</v>
      </c>
      <c r="E4" s="6" t="s">
        <v>33</v>
      </c>
      <c r="F4" s="6" t="s">
        <v>34</v>
      </c>
      <c r="G4" s="7">
        <v>191.39999999999998</v>
      </c>
      <c r="H4" s="9">
        <f t="shared" si="1"/>
        <v>156.4894958</v>
      </c>
      <c r="I4" s="9">
        <f t="shared" si="2"/>
        <v>367.4789916</v>
      </c>
      <c r="J4" s="9">
        <f t="shared" si="3"/>
        <v>367.4789916</v>
      </c>
      <c r="K4" s="9">
        <f t="shared" si="4"/>
        <v>437.3</v>
      </c>
      <c r="L4" s="6" t="s">
        <v>55</v>
      </c>
      <c r="M4" s="6" t="s">
        <v>48</v>
      </c>
      <c r="N4" s="8">
        <v>366.0</v>
      </c>
      <c r="O4" s="6" t="s">
        <v>53</v>
      </c>
      <c r="P4" s="6" t="s">
        <v>56</v>
      </c>
      <c r="Q4" s="6" t="s">
        <v>57</v>
      </c>
      <c r="R4" s="6" t="s">
        <v>58</v>
      </c>
      <c r="S4" s="6" t="s">
        <v>47</v>
      </c>
      <c r="T4" s="8" t="s">
        <v>59</v>
      </c>
      <c r="U4" s="6" t="s">
        <v>50</v>
      </c>
      <c r="V4" s="6" t="s">
        <v>48</v>
      </c>
      <c r="W4" s="6" t="s">
        <v>48</v>
      </c>
      <c r="X4" s="6" t="s">
        <v>52</v>
      </c>
      <c r="Y4" s="5"/>
      <c r="Z4" s="5"/>
      <c r="AA4" s="5"/>
      <c r="AB4" s="5"/>
      <c r="AC4" s="5"/>
      <c r="AD4" s="5"/>
    </row>
    <row r="5">
      <c r="A5" s="6" t="s">
        <v>24</v>
      </c>
      <c r="B5" s="6" t="s">
        <v>32</v>
      </c>
      <c r="C5" s="6" t="s">
        <v>53</v>
      </c>
      <c r="D5" s="6" t="s">
        <v>27</v>
      </c>
      <c r="E5" s="6" t="s">
        <v>33</v>
      </c>
      <c r="F5" s="6" t="s">
        <v>34</v>
      </c>
      <c r="G5" s="7">
        <v>229.67999999999998</v>
      </c>
      <c r="H5" s="9">
        <f t="shared" si="1"/>
        <v>188.657563</v>
      </c>
      <c r="I5" s="9">
        <f t="shared" si="2"/>
        <v>431.8151261</v>
      </c>
      <c r="J5" s="9">
        <f t="shared" si="3"/>
        <v>431.8151261</v>
      </c>
      <c r="K5" s="9">
        <f t="shared" si="4"/>
        <v>513.86</v>
      </c>
      <c r="L5" s="6" t="s">
        <v>60</v>
      </c>
      <c r="M5" s="6" t="s">
        <v>48</v>
      </c>
      <c r="N5" s="8">
        <v>367.0</v>
      </c>
      <c r="O5" s="6" t="s">
        <v>53</v>
      </c>
      <c r="P5" s="6" t="s">
        <v>56</v>
      </c>
      <c r="Q5" s="6" t="s">
        <v>57</v>
      </c>
      <c r="R5" s="6" t="s">
        <v>58</v>
      </c>
      <c r="S5" s="6" t="s">
        <v>47</v>
      </c>
      <c r="T5" s="8" t="s">
        <v>61</v>
      </c>
      <c r="U5" s="6" t="s">
        <v>50</v>
      </c>
      <c r="V5" s="6" t="s">
        <v>48</v>
      </c>
      <c r="W5" s="6" t="s">
        <v>48</v>
      </c>
      <c r="X5" s="6" t="s">
        <v>52</v>
      </c>
      <c r="Y5" s="5"/>
      <c r="Z5" s="5"/>
      <c r="AA5" s="5"/>
      <c r="AB5" s="5"/>
      <c r="AC5" s="5"/>
      <c r="AD5" s="5"/>
    </row>
    <row r="6">
      <c r="A6" s="6" t="s">
        <v>24</v>
      </c>
      <c r="B6" s="6" t="s">
        <v>32</v>
      </c>
      <c r="C6" s="6" t="s">
        <v>62</v>
      </c>
      <c r="D6" s="6" t="s">
        <v>63</v>
      </c>
      <c r="E6" s="6" t="s">
        <v>33</v>
      </c>
      <c r="F6" s="6" t="s">
        <v>34</v>
      </c>
      <c r="G6" s="7">
        <v>70.75999999999999</v>
      </c>
      <c r="H6" s="9">
        <f t="shared" si="1"/>
        <v>55.11134454</v>
      </c>
      <c r="I6" s="9">
        <f t="shared" si="2"/>
        <v>164.7226891</v>
      </c>
      <c r="J6" s="9">
        <f t="shared" si="3"/>
        <v>164.7226891</v>
      </c>
      <c r="K6" s="9">
        <f t="shared" si="4"/>
        <v>196.02</v>
      </c>
      <c r="L6" s="6" t="s">
        <v>64</v>
      </c>
      <c r="M6" s="6" t="s">
        <v>48</v>
      </c>
      <c r="N6" s="8">
        <v>356.0</v>
      </c>
      <c r="O6" s="6" t="s">
        <v>62</v>
      </c>
      <c r="P6" s="6" t="s">
        <v>65</v>
      </c>
      <c r="Q6" s="6" t="s">
        <v>66</v>
      </c>
      <c r="R6" s="6" t="s">
        <v>58</v>
      </c>
      <c r="S6" s="6" t="s">
        <v>47</v>
      </c>
      <c r="T6" s="8" t="s">
        <v>67</v>
      </c>
      <c r="U6" s="6" t="s">
        <v>50</v>
      </c>
      <c r="V6" s="6" t="s">
        <v>48</v>
      </c>
      <c r="W6" s="6" t="s">
        <v>48</v>
      </c>
      <c r="X6" s="6" t="s">
        <v>52</v>
      </c>
      <c r="Y6" s="5"/>
      <c r="Z6" s="5"/>
      <c r="AA6" s="5"/>
      <c r="AB6" s="5"/>
      <c r="AC6" s="5"/>
      <c r="AD6" s="5"/>
    </row>
    <row r="7">
      <c r="A7" s="6" t="s">
        <v>24</v>
      </c>
      <c r="B7" s="6" t="s">
        <v>32</v>
      </c>
      <c r="C7" s="6" t="s">
        <v>62</v>
      </c>
      <c r="D7" s="6" t="s">
        <v>54</v>
      </c>
      <c r="E7" s="6" t="s">
        <v>33</v>
      </c>
      <c r="F7" s="6" t="s">
        <v>34</v>
      </c>
      <c r="G7" s="7">
        <v>96.27999999999999</v>
      </c>
      <c r="H7" s="9">
        <f t="shared" si="1"/>
        <v>76.55672269</v>
      </c>
      <c r="I7" s="9">
        <f t="shared" si="2"/>
        <v>207.6134454</v>
      </c>
      <c r="J7" s="9">
        <f t="shared" si="3"/>
        <v>207.6134454</v>
      </c>
      <c r="K7" s="9">
        <f t="shared" si="4"/>
        <v>247.06</v>
      </c>
      <c r="L7" s="6" t="s">
        <v>68</v>
      </c>
      <c r="M7" s="6" t="s">
        <v>48</v>
      </c>
      <c r="N7" s="8">
        <v>357.0</v>
      </c>
      <c r="O7" s="6" t="s">
        <v>62</v>
      </c>
      <c r="P7" s="6" t="s">
        <v>69</v>
      </c>
      <c r="Q7" s="6" t="s">
        <v>70</v>
      </c>
      <c r="R7" s="6" t="s">
        <v>58</v>
      </c>
      <c r="S7" s="6" t="s">
        <v>47</v>
      </c>
      <c r="T7" s="8" t="s">
        <v>59</v>
      </c>
      <c r="U7" s="6" t="s">
        <v>50</v>
      </c>
      <c r="V7" s="6" t="s">
        <v>48</v>
      </c>
      <c r="W7" s="6" t="s">
        <v>48</v>
      </c>
      <c r="X7" s="6" t="s">
        <v>52</v>
      </c>
      <c r="Y7" s="5"/>
      <c r="Z7" s="5"/>
      <c r="AA7" s="5"/>
      <c r="AB7" s="5"/>
      <c r="AC7" s="5"/>
      <c r="AD7" s="5"/>
    </row>
    <row r="8">
      <c r="A8" s="6" t="s">
        <v>24</v>
      </c>
      <c r="B8" s="6" t="s">
        <v>32</v>
      </c>
      <c r="C8" s="6" t="s">
        <v>62</v>
      </c>
      <c r="D8" s="6" t="s">
        <v>27</v>
      </c>
      <c r="E8" s="6" t="s">
        <v>33</v>
      </c>
      <c r="F8" s="6" t="s">
        <v>34</v>
      </c>
      <c r="G8" s="7">
        <v>109.03999999999999</v>
      </c>
      <c r="H8" s="9">
        <f t="shared" si="1"/>
        <v>87.27941176</v>
      </c>
      <c r="I8" s="9">
        <f t="shared" si="2"/>
        <v>229.0588235</v>
      </c>
      <c r="J8" s="9">
        <f t="shared" si="3"/>
        <v>229.0588235</v>
      </c>
      <c r="K8" s="9">
        <f t="shared" si="4"/>
        <v>272.58</v>
      </c>
      <c r="L8" s="6" t="s">
        <v>71</v>
      </c>
      <c r="M8" s="6" t="s">
        <v>48</v>
      </c>
      <c r="N8" s="8">
        <v>358.0</v>
      </c>
      <c r="O8" s="6" t="s">
        <v>62</v>
      </c>
      <c r="P8" s="6" t="s">
        <v>69</v>
      </c>
      <c r="Q8" s="6" t="s">
        <v>70</v>
      </c>
      <c r="R8" s="6" t="s">
        <v>58</v>
      </c>
      <c r="S8" s="6" t="s">
        <v>47</v>
      </c>
      <c r="T8" s="8" t="s">
        <v>61</v>
      </c>
      <c r="U8" s="6" t="s">
        <v>50</v>
      </c>
      <c r="V8" s="6" t="s">
        <v>48</v>
      </c>
      <c r="W8" s="6" t="s">
        <v>48</v>
      </c>
      <c r="X8" s="6" t="s">
        <v>52</v>
      </c>
      <c r="Y8" s="5"/>
      <c r="Z8" s="5"/>
      <c r="AA8" s="5"/>
      <c r="AB8" s="5"/>
      <c r="AC8" s="5"/>
      <c r="AD8" s="5"/>
    </row>
    <row r="9">
      <c r="A9" s="6" t="s">
        <v>24</v>
      </c>
      <c r="B9" s="6" t="s">
        <v>32</v>
      </c>
      <c r="C9" s="6" t="s">
        <v>72</v>
      </c>
      <c r="D9" s="6" t="s">
        <v>63</v>
      </c>
      <c r="E9" s="6" t="s">
        <v>33</v>
      </c>
      <c r="F9" s="6" t="s">
        <v>34</v>
      </c>
      <c r="G9" s="7">
        <v>83.52</v>
      </c>
      <c r="H9" s="9">
        <f t="shared" si="1"/>
        <v>65.83403361</v>
      </c>
      <c r="I9" s="9">
        <f t="shared" si="2"/>
        <v>186.1680672</v>
      </c>
      <c r="J9" s="9">
        <f t="shared" si="3"/>
        <v>186.1680672</v>
      </c>
      <c r="K9" s="9">
        <f t="shared" si="4"/>
        <v>221.54</v>
      </c>
      <c r="L9" s="6" t="s">
        <v>73</v>
      </c>
      <c r="M9" s="6" t="s">
        <v>48</v>
      </c>
      <c r="N9" s="8">
        <v>359.0</v>
      </c>
      <c r="O9" s="6" t="s">
        <v>74</v>
      </c>
      <c r="P9" s="6" t="s">
        <v>75</v>
      </c>
      <c r="Q9" s="6" t="s">
        <v>76</v>
      </c>
      <c r="R9" s="6" t="s">
        <v>58</v>
      </c>
      <c r="S9" s="6" t="s">
        <v>47</v>
      </c>
      <c r="T9" s="8" t="s">
        <v>67</v>
      </c>
      <c r="U9" s="6" t="s">
        <v>50</v>
      </c>
      <c r="V9" s="6" t="s">
        <v>48</v>
      </c>
      <c r="W9" s="6" t="s">
        <v>48</v>
      </c>
      <c r="X9" s="6" t="s">
        <v>77</v>
      </c>
      <c r="Y9" s="5"/>
      <c r="Z9" s="5"/>
      <c r="AA9" s="5"/>
      <c r="AB9" s="5"/>
      <c r="AC9" s="5"/>
      <c r="AD9" s="5"/>
    </row>
    <row r="10">
      <c r="A10" s="6" t="s">
        <v>24</v>
      </c>
      <c r="B10" s="6" t="s">
        <v>32</v>
      </c>
      <c r="C10" s="6" t="s">
        <v>72</v>
      </c>
      <c r="D10" s="6" t="s">
        <v>54</v>
      </c>
      <c r="E10" s="6" t="s">
        <v>33</v>
      </c>
      <c r="F10" s="6" t="s">
        <v>34</v>
      </c>
      <c r="G10" s="7">
        <v>109.03999999999999</v>
      </c>
      <c r="H10" s="9">
        <f t="shared" si="1"/>
        <v>87.27941176</v>
      </c>
      <c r="I10" s="9">
        <f t="shared" si="2"/>
        <v>229.0588235</v>
      </c>
      <c r="J10" s="9">
        <f t="shared" si="3"/>
        <v>229.0588235</v>
      </c>
      <c r="K10" s="9">
        <f t="shared" si="4"/>
        <v>272.58</v>
      </c>
      <c r="L10" s="6" t="s">
        <v>78</v>
      </c>
      <c r="M10" s="6" t="s">
        <v>48</v>
      </c>
      <c r="N10" s="8">
        <v>360.0</v>
      </c>
      <c r="O10" s="6" t="s">
        <v>74</v>
      </c>
      <c r="P10" s="6" t="s">
        <v>75</v>
      </c>
      <c r="Q10" s="6" t="s">
        <v>76</v>
      </c>
      <c r="R10" s="6" t="s">
        <v>58</v>
      </c>
      <c r="S10" s="6" t="s">
        <v>47</v>
      </c>
      <c r="T10" s="8" t="s">
        <v>59</v>
      </c>
      <c r="U10" s="6" t="s">
        <v>50</v>
      </c>
      <c r="V10" s="6" t="s">
        <v>48</v>
      </c>
      <c r="W10" s="6" t="s">
        <v>48</v>
      </c>
      <c r="X10" s="6" t="s">
        <v>77</v>
      </c>
      <c r="Y10" s="5"/>
      <c r="Z10" s="5"/>
      <c r="AA10" s="5"/>
      <c r="AB10" s="5"/>
      <c r="AC10" s="5"/>
      <c r="AD10" s="5"/>
    </row>
    <row r="11">
      <c r="A11" s="6" t="s">
        <v>24</v>
      </c>
      <c r="B11" s="6" t="s">
        <v>79</v>
      </c>
      <c r="C11" s="6" t="s">
        <v>26</v>
      </c>
      <c r="D11" s="6" t="s">
        <v>27</v>
      </c>
      <c r="E11" s="6" t="s">
        <v>80</v>
      </c>
      <c r="F11" s="6" t="s">
        <v>81</v>
      </c>
      <c r="G11" s="7">
        <v>149.64</v>
      </c>
      <c r="H11" s="9">
        <f t="shared" si="1"/>
        <v>121.3970588</v>
      </c>
      <c r="I11" s="9">
        <f t="shared" si="2"/>
        <v>297.2941176</v>
      </c>
      <c r="J11" s="9">
        <f t="shared" si="3"/>
        <v>297.2941176</v>
      </c>
      <c r="K11" s="9">
        <f t="shared" si="4"/>
        <v>353.78</v>
      </c>
      <c r="L11" s="6" t="s">
        <v>64</v>
      </c>
      <c r="M11" s="6" t="s">
        <v>31</v>
      </c>
      <c r="N11" s="8">
        <v>797.0</v>
      </c>
      <c r="O11" s="6" t="s">
        <v>36</v>
      </c>
      <c r="P11" s="6" t="s">
        <v>38</v>
      </c>
      <c r="Q11" s="6" t="s">
        <v>39</v>
      </c>
      <c r="R11" s="6" t="s">
        <v>41</v>
      </c>
      <c r="S11" s="6" t="s">
        <v>82</v>
      </c>
      <c r="T11" s="8" t="s">
        <v>67</v>
      </c>
      <c r="U11" s="6" t="s">
        <v>50</v>
      </c>
      <c r="V11" s="6" t="s">
        <v>48</v>
      </c>
      <c r="W11" s="6" t="s">
        <v>48</v>
      </c>
      <c r="X11" s="6" t="s">
        <v>51</v>
      </c>
      <c r="Y11" s="5"/>
      <c r="Z11" s="5"/>
      <c r="AA11" s="5"/>
      <c r="AB11" s="5"/>
      <c r="AC11" s="5"/>
      <c r="AD11" s="5"/>
    </row>
    <row r="12">
      <c r="A12" s="6" t="s">
        <v>24</v>
      </c>
      <c r="B12" s="6" t="s">
        <v>79</v>
      </c>
      <c r="C12" s="6" t="s">
        <v>53</v>
      </c>
      <c r="D12" s="6" t="s">
        <v>54</v>
      </c>
      <c r="E12" s="6" t="s">
        <v>80</v>
      </c>
      <c r="F12" s="6" t="s">
        <v>81</v>
      </c>
      <c r="G12" s="7">
        <v>288.84</v>
      </c>
      <c r="H12" s="9">
        <f t="shared" si="1"/>
        <v>238.3718487</v>
      </c>
      <c r="I12" s="9">
        <f t="shared" si="2"/>
        <v>531.2436975</v>
      </c>
      <c r="J12" s="9">
        <f t="shared" si="3"/>
        <v>531.2436975</v>
      </c>
      <c r="K12" s="9">
        <f t="shared" si="4"/>
        <v>632.18</v>
      </c>
      <c r="L12" s="6" t="s">
        <v>83</v>
      </c>
      <c r="M12" s="6" t="s">
        <v>84</v>
      </c>
      <c r="N12" s="8">
        <v>537.0</v>
      </c>
      <c r="O12" s="6" t="s">
        <v>85</v>
      </c>
      <c r="P12" s="6" t="s">
        <v>86</v>
      </c>
      <c r="Q12" s="6" t="s">
        <v>57</v>
      </c>
      <c r="R12" s="6" t="s">
        <v>58</v>
      </c>
      <c r="S12" s="6" t="s">
        <v>82</v>
      </c>
      <c r="T12" s="8" t="s">
        <v>87</v>
      </c>
      <c r="U12" s="6" t="s">
        <v>50</v>
      </c>
      <c r="V12" s="6" t="s">
        <v>48</v>
      </c>
      <c r="W12" s="6" t="s">
        <v>48</v>
      </c>
      <c r="X12" s="6" t="s">
        <v>88</v>
      </c>
      <c r="Y12" s="5"/>
      <c r="Z12" s="5"/>
      <c r="AA12" s="5"/>
      <c r="AB12" s="5"/>
      <c r="AC12" s="5"/>
      <c r="AD12" s="5"/>
    </row>
    <row r="13">
      <c r="A13" s="6" t="s">
        <v>24</v>
      </c>
      <c r="B13" s="6" t="s">
        <v>79</v>
      </c>
      <c r="C13" s="6" t="s">
        <v>53</v>
      </c>
      <c r="D13" s="6" t="s">
        <v>27</v>
      </c>
      <c r="E13" s="6" t="s">
        <v>80</v>
      </c>
      <c r="F13" s="6" t="s">
        <v>81</v>
      </c>
      <c r="G13" s="7">
        <v>335.23999999999995</v>
      </c>
      <c r="H13" s="9">
        <f t="shared" si="1"/>
        <v>277.3634454</v>
      </c>
      <c r="I13" s="9">
        <f t="shared" si="2"/>
        <v>609.2268908</v>
      </c>
      <c r="J13" s="9">
        <f t="shared" si="3"/>
        <v>609.2268908</v>
      </c>
      <c r="K13" s="9">
        <f t="shared" si="4"/>
        <v>724.98</v>
      </c>
      <c r="L13" s="6" t="s">
        <v>83</v>
      </c>
      <c r="M13" s="6" t="s">
        <v>84</v>
      </c>
      <c r="N13" s="8">
        <v>5141.0</v>
      </c>
      <c r="O13" s="6" t="s">
        <v>85</v>
      </c>
      <c r="P13" s="6" t="s">
        <v>86</v>
      </c>
      <c r="Q13" s="6" t="s">
        <v>57</v>
      </c>
      <c r="R13" s="6" t="s">
        <v>58</v>
      </c>
      <c r="S13" s="6" t="s">
        <v>82</v>
      </c>
      <c r="T13" s="8" t="s">
        <v>89</v>
      </c>
      <c r="U13" s="6" t="s">
        <v>50</v>
      </c>
      <c r="V13" s="6" t="s">
        <v>48</v>
      </c>
      <c r="W13" s="6" t="s">
        <v>48</v>
      </c>
      <c r="X13" s="6" t="s">
        <v>88</v>
      </c>
      <c r="Y13" s="5"/>
      <c r="Z13" s="5"/>
      <c r="AA13" s="5"/>
      <c r="AB13" s="5"/>
      <c r="AC13" s="5"/>
      <c r="AD13" s="5"/>
    </row>
    <row r="14">
      <c r="A14" s="6" t="s">
        <v>24</v>
      </c>
      <c r="B14" s="6" t="s">
        <v>79</v>
      </c>
      <c r="C14" s="6" t="s">
        <v>72</v>
      </c>
      <c r="D14" s="6" t="s">
        <v>54</v>
      </c>
      <c r="E14" s="6" t="s">
        <v>80</v>
      </c>
      <c r="F14" s="6" t="s">
        <v>81</v>
      </c>
      <c r="G14" s="7">
        <v>138.04</v>
      </c>
      <c r="H14" s="9">
        <f t="shared" si="1"/>
        <v>111.6491597</v>
      </c>
      <c r="I14" s="9">
        <f t="shared" si="2"/>
        <v>277.7983193</v>
      </c>
      <c r="J14" s="9">
        <f t="shared" si="3"/>
        <v>277.7983193</v>
      </c>
      <c r="K14" s="9">
        <f t="shared" si="4"/>
        <v>330.58</v>
      </c>
      <c r="L14" s="6" t="s">
        <v>83</v>
      </c>
      <c r="M14" s="6" t="s">
        <v>48</v>
      </c>
      <c r="N14" s="8">
        <v>5120.0</v>
      </c>
      <c r="O14" s="6" t="s">
        <v>74</v>
      </c>
      <c r="P14" s="6" t="s">
        <v>75</v>
      </c>
      <c r="Q14" s="6" t="s">
        <v>76</v>
      </c>
      <c r="R14" s="6" t="s">
        <v>58</v>
      </c>
      <c r="S14" s="6" t="s">
        <v>82</v>
      </c>
      <c r="T14" s="8" t="s">
        <v>87</v>
      </c>
      <c r="U14" s="6" t="s">
        <v>50</v>
      </c>
      <c r="V14" s="6" t="s">
        <v>48</v>
      </c>
      <c r="W14" s="6" t="s">
        <v>48</v>
      </c>
      <c r="X14" s="6" t="s">
        <v>77</v>
      </c>
      <c r="Y14" s="5"/>
      <c r="Z14" s="5"/>
      <c r="AA14" s="5"/>
      <c r="AB14" s="5"/>
      <c r="AC14" s="5"/>
      <c r="AD14" s="5"/>
    </row>
    <row r="15">
      <c r="A15" s="6" t="s">
        <v>24</v>
      </c>
      <c r="B15" s="6" t="s">
        <v>90</v>
      </c>
      <c r="C15" s="6" t="s">
        <v>26</v>
      </c>
      <c r="D15" s="6" t="s">
        <v>27</v>
      </c>
      <c r="E15" s="6" t="s">
        <v>91</v>
      </c>
      <c r="F15" s="6" t="s">
        <v>92</v>
      </c>
      <c r="G15" s="7">
        <v>127.6</v>
      </c>
      <c r="H15" s="9">
        <f t="shared" si="1"/>
        <v>102.8760504</v>
      </c>
      <c r="I15" s="9">
        <f t="shared" si="2"/>
        <v>260.2521008</v>
      </c>
      <c r="J15" s="9">
        <f t="shared" si="3"/>
        <v>260.2521008</v>
      </c>
      <c r="K15" s="9">
        <f t="shared" si="4"/>
        <v>309.7</v>
      </c>
      <c r="L15" s="6" t="s">
        <v>93</v>
      </c>
      <c r="M15" s="6" t="s">
        <v>37</v>
      </c>
      <c r="N15" s="8">
        <v>397.0</v>
      </c>
      <c r="O15" s="6" t="s">
        <v>40</v>
      </c>
      <c r="P15" s="6" t="s">
        <v>42</v>
      </c>
      <c r="Q15" s="6" t="s">
        <v>44</v>
      </c>
      <c r="R15" s="6" t="s">
        <v>41</v>
      </c>
      <c r="S15" s="6" t="s">
        <v>94</v>
      </c>
      <c r="T15" s="8" t="s">
        <v>95</v>
      </c>
      <c r="U15" s="6" t="s">
        <v>50</v>
      </c>
      <c r="V15" s="6" t="s">
        <v>48</v>
      </c>
      <c r="W15" s="6" t="s">
        <v>48</v>
      </c>
      <c r="X15" s="6" t="s">
        <v>52</v>
      </c>
      <c r="Y15" s="5"/>
      <c r="Z15" s="5"/>
      <c r="AA15" s="5"/>
      <c r="AB15" s="5"/>
      <c r="AC15" s="5"/>
      <c r="AD15" s="5"/>
    </row>
    <row r="16">
      <c r="A16" s="6" t="s">
        <v>24</v>
      </c>
      <c r="B16" s="6" t="s">
        <v>90</v>
      </c>
      <c r="C16" s="6" t="s">
        <v>53</v>
      </c>
      <c r="D16" s="6" t="s">
        <v>54</v>
      </c>
      <c r="E16" s="6" t="s">
        <v>91</v>
      </c>
      <c r="F16" s="6" t="s">
        <v>92</v>
      </c>
      <c r="G16" s="7">
        <v>191.39999999999998</v>
      </c>
      <c r="H16" s="9">
        <f t="shared" si="1"/>
        <v>156.4894958</v>
      </c>
      <c r="I16" s="9">
        <f t="shared" si="2"/>
        <v>367.4789916</v>
      </c>
      <c r="J16" s="9">
        <f t="shared" si="3"/>
        <v>367.4789916</v>
      </c>
      <c r="K16" s="9">
        <f t="shared" si="4"/>
        <v>437.3</v>
      </c>
      <c r="L16" s="6" t="s">
        <v>96</v>
      </c>
      <c r="M16" s="6" t="s">
        <v>48</v>
      </c>
      <c r="N16" s="8">
        <v>399.0</v>
      </c>
      <c r="O16" s="6" t="s">
        <v>53</v>
      </c>
      <c r="P16" s="6" t="s">
        <v>56</v>
      </c>
      <c r="Q16" s="6" t="s">
        <v>57</v>
      </c>
      <c r="R16" s="6" t="s">
        <v>58</v>
      </c>
      <c r="S16" s="6" t="s">
        <v>94</v>
      </c>
      <c r="T16" s="8" t="s">
        <v>97</v>
      </c>
      <c r="U16" s="6" t="s">
        <v>50</v>
      </c>
      <c r="V16" s="6" t="s">
        <v>48</v>
      </c>
      <c r="W16" s="6" t="s">
        <v>48</v>
      </c>
      <c r="X16" s="6" t="s">
        <v>52</v>
      </c>
      <c r="Y16" s="5"/>
      <c r="Z16" s="5"/>
      <c r="AA16" s="5"/>
      <c r="AB16" s="5"/>
      <c r="AC16" s="5"/>
      <c r="AD16" s="5"/>
    </row>
    <row r="17">
      <c r="A17" s="6" t="s">
        <v>24</v>
      </c>
      <c r="B17" s="6" t="s">
        <v>90</v>
      </c>
      <c r="C17" s="6" t="s">
        <v>53</v>
      </c>
      <c r="D17" s="6" t="s">
        <v>27</v>
      </c>
      <c r="E17" s="6" t="s">
        <v>91</v>
      </c>
      <c r="F17" s="6" t="s">
        <v>92</v>
      </c>
      <c r="G17" s="7">
        <v>229.67999999999998</v>
      </c>
      <c r="H17" s="9">
        <f t="shared" si="1"/>
        <v>188.657563</v>
      </c>
      <c r="I17" s="9">
        <f t="shared" si="2"/>
        <v>431.8151261</v>
      </c>
      <c r="J17" s="9">
        <f t="shared" si="3"/>
        <v>431.8151261</v>
      </c>
      <c r="K17" s="9">
        <f t="shared" si="4"/>
        <v>513.86</v>
      </c>
      <c r="L17" s="6" t="s">
        <v>98</v>
      </c>
      <c r="M17" s="6" t="s">
        <v>48</v>
      </c>
      <c r="N17" s="8">
        <v>617.0</v>
      </c>
      <c r="O17" s="6" t="s">
        <v>53</v>
      </c>
      <c r="P17" s="6" t="s">
        <v>56</v>
      </c>
      <c r="Q17" s="6" t="s">
        <v>57</v>
      </c>
      <c r="R17" s="6" t="s">
        <v>58</v>
      </c>
      <c r="S17" s="6" t="s">
        <v>94</v>
      </c>
      <c r="T17" s="8" t="s">
        <v>99</v>
      </c>
      <c r="U17" s="6" t="s">
        <v>50</v>
      </c>
      <c r="V17" s="6" t="s">
        <v>48</v>
      </c>
      <c r="W17" s="6" t="s">
        <v>48</v>
      </c>
      <c r="X17" s="6" t="s">
        <v>52</v>
      </c>
      <c r="Y17" s="5"/>
      <c r="Z17" s="5"/>
      <c r="AA17" s="5"/>
      <c r="AB17" s="5"/>
      <c r="AC17" s="5"/>
      <c r="AD17" s="5"/>
    </row>
    <row r="18">
      <c r="A18" s="6" t="s">
        <v>24</v>
      </c>
      <c r="B18" s="6" t="s">
        <v>90</v>
      </c>
      <c r="C18" s="6" t="s">
        <v>62</v>
      </c>
      <c r="D18" s="6" t="s">
        <v>54</v>
      </c>
      <c r="E18" s="6" t="s">
        <v>91</v>
      </c>
      <c r="F18" s="6" t="s">
        <v>92</v>
      </c>
      <c r="G18" s="7">
        <v>96.27999999999999</v>
      </c>
      <c r="H18" s="9">
        <f t="shared" si="1"/>
        <v>76.55672269</v>
      </c>
      <c r="I18" s="9">
        <f t="shared" si="2"/>
        <v>207.6134454</v>
      </c>
      <c r="J18" s="9">
        <f t="shared" si="3"/>
        <v>207.6134454</v>
      </c>
      <c r="K18" s="9">
        <f t="shared" si="4"/>
        <v>247.06</v>
      </c>
      <c r="L18" s="6" t="s">
        <v>100</v>
      </c>
      <c r="M18" s="6" t="s">
        <v>48</v>
      </c>
      <c r="N18" s="8">
        <v>391.0</v>
      </c>
      <c r="O18" s="6" t="s">
        <v>62</v>
      </c>
      <c r="P18" s="6" t="s">
        <v>69</v>
      </c>
      <c r="Q18" s="6" t="s">
        <v>70</v>
      </c>
      <c r="R18" s="6" t="s">
        <v>58</v>
      </c>
      <c r="S18" s="6" t="s">
        <v>94</v>
      </c>
      <c r="T18" s="8" t="s">
        <v>97</v>
      </c>
      <c r="U18" s="6" t="s">
        <v>50</v>
      </c>
      <c r="V18" s="6" t="s">
        <v>48</v>
      </c>
      <c r="W18" s="6" t="s">
        <v>48</v>
      </c>
      <c r="X18" s="6" t="s">
        <v>52</v>
      </c>
      <c r="Y18" s="5"/>
      <c r="Z18" s="5"/>
      <c r="AA18" s="5"/>
      <c r="AB18" s="5"/>
      <c r="AC18" s="5"/>
      <c r="AD18" s="5"/>
    </row>
    <row r="19">
      <c r="A19" s="6" t="s">
        <v>24</v>
      </c>
      <c r="B19" s="6" t="s">
        <v>90</v>
      </c>
      <c r="C19" s="6" t="s">
        <v>62</v>
      </c>
      <c r="D19" s="6" t="s">
        <v>27</v>
      </c>
      <c r="E19" s="6" t="s">
        <v>91</v>
      </c>
      <c r="F19" s="6" t="s">
        <v>92</v>
      </c>
      <c r="G19" s="7">
        <v>109.03999999999999</v>
      </c>
      <c r="H19" s="9">
        <f t="shared" si="1"/>
        <v>87.27941176</v>
      </c>
      <c r="I19" s="9">
        <f t="shared" si="2"/>
        <v>229.0588235</v>
      </c>
      <c r="J19" s="9">
        <f t="shared" si="3"/>
        <v>229.0588235</v>
      </c>
      <c r="K19" s="9">
        <f t="shared" si="4"/>
        <v>272.58</v>
      </c>
      <c r="L19" s="6" t="s">
        <v>101</v>
      </c>
      <c r="M19" s="6" t="s">
        <v>48</v>
      </c>
      <c r="N19" s="8">
        <v>392.0</v>
      </c>
      <c r="O19" s="6" t="s">
        <v>62</v>
      </c>
      <c r="P19" s="6" t="s">
        <v>69</v>
      </c>
      <c r="Q19" s="6" t="s">
        <v>70</v>
      </c>
      <c r="R19" s="6" t="s">
        <v>58</v>
      </c>
      <c r="S19" s="6" t="s">
        <v>94</v>
      </c>
      <c r="T19" s="8" t="s">
        <v>99</v>
      </c>
      <c r="U19" s="6" t="s">
        <v>50</v>
      </c>
      <c r="V19" s="6" t="s">
        <v>48</v>
      </c>
      <c r="W19" s="6" t="s">
        <v>48</v>
      </c>
      <c r="X19" s="6" t="s">
        <v>52</v>
      </c>
      <c r="Y19" s="5"/>
      <c r="Z19" s="5"/>
      <c r="AA19" s="5"/>
      <c r="AB19" s="5"/>
      <c r="AC19" s="5"/>
      <c r="AD19" s="5"/>
    </row>
    <row r="20">
      <c r="A20" s="6" t="s">
        <v>24</v>
      </c>
      <c r="B20" s="6" t="s">
        <v>90</v>
      </c>
      <c r="C20" s="6" t="s">
        <v>72</v>
      </c>
      <c r="D20" s="6" t="s">
        <v>54</v>
      </c>
      <c r="E20" s="6" t="s">
        <v>91</v>
      </c>
      <c r="F20" s="6" t="s">
        <v>92</v>
      </c>
      <c r="G20" s="7">
        <v>109.03999999999999</v>
      </c>
      <c r="H20" s="9">
        <f t="shared" si="1"/>
        <v>87.27941176</v>
      </c>
      <c r="I20" s="9">
        <f t="shared" si="2"/>
        <v>229.0588235</v>
      </c>
      <c r="J20" s="9">
        <f t="shared" si="3"/>
        <v>229.0588235</v>
      </c>
      <c r="K20" s="9">
        <f t="shared" si="4"/>
        <v>272.58</v>
      </c>
      <c r="L20" s="6" t="s">
        <v>102</v>
      </c>
      <c r="M20" s="6" t="s">
        <v>48</v>
      </c>
      <c r="N20" s="8">
        <v>394.0</v>
      </c>
      <c r="O20" s="6" t="s">
        <v>74</v>
      </c>
      <c r="P20" s="6" t="s">
        <v>75</v>
      </c>
      <c r="Q20" s="6" t="s">
        <v>76</v>
      </c>
      <c r="R20" s="6" t="s">
        <v>58</v>
      </c>
      <c r="S20" s="6" t="s">
        <v>94</v>
      </c>
      <c r="T20" s="8" t="s">
        <v>97</v>
      </c>
      <c r="U20" s="6" t="s">
        <v>50</v>
      </c>
      <c r="V20" s="6" t="s">
        <v>48</v>
      </c>
      <c r="W20" s="6" t="s">
        <v>48</v>
      </c>
      <c r="X20" s="6" t="s">
        <v>77</v>
      </c>
      <c r="Y20" s="5"/>
      <c r="Z20" s="5"/>
      <c r="AA20" s="5"/>
      <c r="AB20" s="5"/>
      <c r="AC20" s="5"/>
      <c r="AD20" s="5"/>
    </row>
    <row r="21" ht="15.75" customHeight="1">
      <c r="A21" s="6" t="s">
        <v>24</v>
      </c>
      <c r="B21" s="6" t="s">
        <v>90</v>
      </c>
      <c r="C21" s="6" t="s">
        <v>72</v>
      </c>
      <c r="D21" s="6" t="s">
        <v>27</v>
      </c>
      <c r="E21" s="6" t="s">
        <v>91</v>
      </c>
      <c r="F21" s="6" t="s">
        <v>92</v>
      </c>
      <c r="G21" s="7">
        <v>121.8</v>
      </c>
      <c r="H21" s="9">
        <f t="shared" si="1"/>
        <v>98.00210084</v>
      </c>
      <c r="I21" s="9">
        <f t="shared" si="2"/>
        <v>250.5042017</v>
      </c>
      <c r="J21" s="9">
        <f t="shared" si="3"/>
        <v>250.5042017</v>
      </c>
      <c r="K21" s="9">
        <f t="shared" si="4"/>
        <v>298.1</v>
      </c>
      <c r="L21" s="6" t="s">
        <v>103</v>
      </c>
      <c r="M21" s="6" t="s">
        <v>48</v>
      </c>
      <c r="N21" s="8">
        <v>395.0</v>
      </c>
      <c r="O21" s="6" t="s">
        <v>74</v>
      </c>
      <c r="P21" s="6" t="s">
        <v>75</v>
      </c>
      <c r="Q21" s="6" t="s">
        <v>76</v>
      </c>
      <c r="R21" s="6" t="s">
        <v>58</v>
      </c>
      <c r="S21" s="6" t="s">
        <v>94</v>
      </c>
      <c r="T21" s="8" t="s">
        <v>99</v>
      </c>
      <c r="U21" s="6" t="s">
        <v>50</v>
      </c>
      <c r="V21" s="6" t="s">
        <v>48</v>
      </c>
      <c r="W21" s="6" t="s">
        <v>48</v>
      </c>
      <c r="X21" s="6" t="s">
        <v>77</v>
      </c>
      <c r="Y21" s="5"/>
      <c r="Z21" s="5"/>
      <c r="AA21" s="5"/>
      <c r="AB21" s="5"/>
      <c r="AC21" s="5"/>
      <c r="AD21" s="5"/>
    </row>
    <row r="22" ht="15.75" customHeight="1">
      <c r="A22" s="6" t="s">
        <v>24</v>
      </c>
      <c r="B22" s="6" t="s">
        <v>104</v>
      </c>
      <c r="C22" s="6" t="s">
        <v>26</v>
      </c>
      <c r="D22" s="6" t="s">
        <v>27</v>
      </c>
      <c r="E22" s="6" t="s">
        <v>105</v>
      </c>
      <c r="F22" s="6" t="s">
        <v>106</v>
      </c>
      <c r="G22" s="7">
        <v>139.2</v>
      </c>
      <c r="H22" s="9">
        <f t="shared" si="1"/>
        <v>112.6239496</v>
      </c>
      <c r="I22" s="9">
        <f t="shared" si="2"/>
        <v>279.7478992</v>
      </c>
      <c r="J22" s="9">
        <f t="shared" si="3"/>
        <v>279.7478992</v>
      </c>
      <c r="K22" s="9">
        <f t="shared" si="4"/>
        <v>332.9</v>
      </c>
      <c r="L22" s="6" t="s">
        <v>83</v>
      </c>
      <c r="M22" s="6" t="s">
        <v>37</v>
      </c>
      <c r="N22" s="8">
        <v>876.0</v>
      </c>
      <c r="O22" s="6" t="s">
        <v>40</v>
      </c>
      <c r="P22" s="6" t="s">
        <v>42</v>
      </c>
      <c r="Q22" s="6" t="s">
        <v>44</v>
      </c>
      <c r="R22" s="6" t="s">
        <v>41</v>
      </c>
      <c r="S22" s="6" t="s">
        <v>107</v>
      </c>
      <c r="T22" s="8" t="s">
        <v>108</v>
      </c>
      <c r="U22" s="6" t="s">
        <v>50</v>
      </c>
      <c r="V22" s="6" t="s">
        <v>48</v>
      </c>
      <c r="W22" s="6" t="s">
        <v>48</v>
      </c>
      <c r="X22" s="6" t="s">
        <v>52</v>
      </c>
      <c r="Y22" s="5"/>
      <c r="Z22" s="5"/>
      <c r="AA22" s="5"/>
      <c r="AB22" s="5"/>
      <c r="AC22" s="5"/>
      <c r="AD22" s="5"/>
    </row>
    <row r="23" ht="15.75" customHeight="1">
      <c r="A23" s="6" t="s">
        <v>24</v>
      </c>
      <c r="B23" s="6" t="s">
        <v>104</v>
      </c>
      <c r="C23" s="6" t="s">
        <v>53</v>
      </c>
      <c r="D23" s="6" t="s">
        <v>63</v>
      </c>
      <c r="E23" s="6" t="s">
        <v>105</v>
      </c>
      <c r="F23" s="6" t="s">
        <v>106</v>
      </c>
      <c r="G23" s="7">
        <v>153.11999999999998</v>
      </c>
      <c r="H23" s="9">
        <f t="shared" si="1"/>
        <v>124.3214286</v>
      </c>
      <c r="I23" s="9">
        <f t="shared" si="2"/>
        <v>303.1428571</v>
      </c>
      <c r="J23" s="9">
        <f t="shared" si="3"/>
        <v>303.1428571</v>
      </c>
      <c r="K23" s="9">
        <f t="shared" si="4"/>
        <v>360.74</v>
      </c>
      <c r="L23" s="6" t="s">
        <v>83</v>
      </c>
      <c r="M23" s="6" t="s">
        <v>48</v>
      </c>
      <c r="N23" s="8">
        <v>414.0</v>
      </c>
      <c r="O23" s="6" t="s">
        <v>53</v>
      </c>
      <c r="P23" s="6" t="s">
        <v>56</v>
      </c>
      <c r="Q23" s="6" t="s">
        <v>57</v>
      </c>
      <c r="R23" s="6" t="s">
        <v>58</v>
      </c>
      <c r="S23" s="6" t="s">
        <v>107</v>
      </c>
      <c r="T23" s="8" t="s">
        <v>109</v>
      </c>
      <c r="U23" s="6" t="s">
        <v>50</v>
      </c>
      <c r="V23" s="6" t="s">
        <v>48</v>
      </c>
      <c r="W23" s="6" t="s">
        <v>48</v>
      </c>
      <c r="X23" s="6" t="s">
        <v>52</v>
      </c>
      <c r="Y23" s="5"/>
      <c r="Z23" s="5"/>
      <c r="AA23" s="5"/>
      <c r="AB23" s="5"/>
      <c r="AC23" s="5"/>
      <c r="AD23" s="5"/>
    </row>
    <row r="24" ht="15.75" customHeight="1">
      <c r="A24" s="6" t="s">
        <v>24</v>
      </c>
      <c r="B24" s="6" t="s">
        <v>104</v>
      </c>
      <c r="C24" s="6" t="s">
        <v>53</v>
      </c>
      <c r="D24" s="6" t="s">
        <v>54</v>
      </c>
      <c r="E24" s="6" t="s">
        <v>105</v>
      </c>
      <c r="F24" s="6" t="s">
        <v>106</v>
      </c>
      <c r="G24" s="7">
        <v>191.39999999999998</v>
      </c>
      <c r="H24" s="9">
        <f t="shared" si="1"/>
        <v>156.4894958</v>
      </c>
      <c r="I24" s="9">
        <f t="shared" si="2"/>
        <v>367.4789916</v>
      </c>
      <c r="J24" s="9">
        <f t="shared" si="3"/>
        <v>367.4789916</v>
      </c>
      <c r="K24" s="9">
        <f t="shared" si="4"/>
        <v>437.3</v>
      </c>
      <c r="L24" s="6" t="s">
        <v>110</v>
      </c>
      <c r="M24" s="6" t="s">
        <v>48</v>
      </c>
      <c r="N24" s="8">
        <v>415.0</v>
      </c>
      <c r="O24" s="6" t="s">
        <v>53</v>
      </c>
      <c r="P24" s="6" t="s">
        <v>56</v>
      </c>
      <c r="Q24" s="6" t="s">
        <v>57</v>
      </c>
      <c r="R24" s="6" t="s">
        <v>58</v>
      </c>
      <c r="S24" s="6" t="s">
        <v>107</v>
      </c>
      <c r="T24" s="8" t="s">
        <v>111</v>
      </c>
      <c r="U24" s="6" t="s">
        <v>50</v>
      </c>
      <c r="V24" s="6" t="s">
        <v>48</v>
      </c>
      <c r="W24" s="6" t="s">
        <v>48</v>
      </c>
      <c r="X24" s="6" t="s">
        <v>52</v>
      </c>
      <c r="Y24" s="5"/>
      <c r="Z24" s="5"/>
      <c r="AA24" s="5"/>
      <c r="AB24" s="5"/>
      <c r="AC24" s="5"/>
      <c r="AD24" s="5"/>
    </row>
    <row r="25" ht="15.75" customHeight="1">
      <c r="A25" s="6" t="s">
        <v>24</v>
      </c>
      <c r="B25" s="6" t="s">
        <v>104</v>
      </c>
      <c r="C25" s="6" t="s">
        <v>53</v>
      </c>
      <c r="D25" s="6" t="s">
        <v>27</v>
      </c>
      <c r="E25" s="6" t="s">
        <v>105</v>
      </c>
      <c r="F25" s="6" t="s">
        <v>106</v>
      </c>
      <c r="G25" s="7">
        <v>231.99999999999997</v>
      </c>
      <c r="H25" s="9">
        <f t="shared" si="1"/>
        <v>190.6071429</v>
      </c>
      <c r="I25" s="9">
        <f t="shared" si="2"/>
        <v>435.7142857</v>
      </c>
      <c r="J25" s="9">
        <f t="shared" si="3"/>
        <v>435.7142857</v>
      </c>
      <c r="K25" s="9">
        <f t="shared" si="4"/>
        <v>518.5</v>
      </c>
      <c r="L25" s="6" t="s">
        <v>83</v>
      </c>
      <c r="M25" s="6" t="s">
        <v>48</v>
      </c>
      <c r="N25" s="8">
        <v>1967.0</v>
      </c>
      <c r="O25" s="6" t="s">
        <v>53</v>
      </c>
      <c r="P25" s="6" t="s">
        <v>56</v>
      </c>
      <c r="Q25" s="6" t="s">
        <v>57</v>
      </c>
      <c r="R25" s="6" t="s">
        <v>58</v>
      </c>
      <c r="S25" s="6" t="s">
        <v>107</v>
      </c>
      <c r="T25" s="8" t="s">
        <v>112</v>
      </c>
      <c r="U25" s="6" t="s">
        <v>50</v>
      </c>
      <c r="V25" s="6" t="s">
        <v>48</v>
      </c>
      <c r="W25" s="6" t="s">
        <v>48</v>
      </c>
      <c r="X25" s="6" t="s">
        <v>52</v>
      </c>
      <c r="Y25" s="5"/>
      <c r="Z25" s="5"/>
      <c r="AA25" s="5"/>
      <c r="AB25" s="5"/>
      <c r="AC25" s="5"/>
      <c r="AD25" s="5"/>
    </row>
    <row r="26" ht="15.75" customHeight="1">
      <c r="A26" s="6" t="s">
        <v>24</v>
      </c>
      <c r="B26" s="6" t="s">
        <v>104</v>
      </c>
      <c r="C26" s="6" t="s">
        <v>62</v>
      </c>
      <c r="D26" s="6" t="s">
        <v>63</v>
      </c>
      <c r="E26" s="6" t="s">
        <v>105</v>
      </c>
      <c r="F26" s="6" t="s">
        <v>106</v>
      </c>
      <c r="G26" s="7">
        <v>70.75999999999999</v>
      </c>
      <c r="H26" s="9">
        <f t="shared" si="1"/>
        <v>55.11134454</v>
      </c>
      <c r="I26" s="9">
        <f t="shared" si="2"/>
        <v>164.7226891</v>
      </c>
      <c r="J26" s="9">
        <f t="shared" si="3"/>
        <v>164.7226891</v>
      </c>
      <c r="K26" s="9">
        <f t="shared" si="4"/>
        <v>196.02</v>
      </c>
      <c r="L26" s="6" t="s">
        <v>83</v>
      </c>
      <c r="M26" s="6" t="s">
        <v>48</v>
      </c>
      <c r="N26" s="8">
        <v>409.0</v>
      </c>
      <c r="O26" s="6" t="s">
        <v>62</v>
      </c>
      <c r="P26" s="6" t="s">
        <v>65</v>
      </c>
      <c r="Q26" s="6" t="s">
        <v>66</v>
      </c>
      <c r="R26" s="6" t="s">
        <v>58</v>
      </c>
      <c r="S26" s="6" t="s">
        <v>107</v>
      </c>
      <c r="T26" s="8" t="s">
        <v>109</v>
      </c>
      <c r="U26" s="6" t="s">
        <v>50</v>
      </c>
      <c r="V26" s="6" t="s">
        <v>48</v>
      </c>
      <c r="W26" s="6" t="s">
        <v>48</v>
      </c>
      <c r="X26" s="6" t="s">
        <v>52</v>
      </c>
      <c r="Y26" s="5"/>
      <c r="Z26" s="5"/>
      <c r="AA26" s="5"/>
      <c r="AB26" s="5"/>
      <c r="AC26" s="5"/>
      <c r="AD26" s="5"/>
    </row>
    <row r="27" ht="15.75" customHeight="1">
      <c r="A27" s="6" t="s">
        <v>24</v>
      </c>
      <c r="B27" s="6" t="s">
        <v>104</v>
      </c>
      <c r="C27" s="6" t="s">
        <v>62</v>
      </c>
      <c r="D27" s="6" t="s">
        <v>54</v>
      </c>
      <c r="E27" s="6" t="s">
        <v>105</v>
      </c>
      <c r="F27" s="6" t="s">
        <v>106</v>
      </c>
      <c r="G27" s="7">
        <v>96.27999999999999</v>
      </c>
      <c r="H27" s="9">
        <f t="shared" si="1"/>
        <v>76.55672269</v>
      </c>
      <c r="I27" s="9">
        <f t="shared" si="2"/>
        <v>207.6134454</v>
      </c>
      <c r="J27" s="9">
        <f t="shared" si="3"/>
        <v>207.6134454</v>
      </c>
      <c r="K27" s="9">
        <f t="shared" si="4"/>
        <v>247.06</v>
      </c>
      <c r="L27" s="6" t="s">
        <v>83</v>
      </c>
      <c r="M27" s="6" t="s">
        <v>48</v>
      </c>
      <c r="N27" s="8">
        <v>410.0</v>
      </c>
      <c r="O27" s="6" t="s">
        <v>62</v>
      </c>
      <c r="P27" s="6" t="s">
        <v>69</v>
      </c>
      <c r="Q27" s="6" t="s">
        <v>70</v>
      </c>
      <c r="R27" s="6" t="s">
        <v>58</v>
      </c>
      <c r="S27" s="6" t="s">
        <v>107</v>
      </c>
      <c r="T27" s="8" t="s">
        <v>111</v>
      </c>
      <c r="U27" s="6" t="s">
        <v>50</v>
      </c>
      <c r="V27" s="6" t="s">
        <v>48</v>
      </c>
      <c r="W27" s="6" t="s">
        <v>48</v>
      </c>
      <c r="X27" s="6" t="s">
        <v>52</v>
      </c>
      <c r="Y27" s="5"/>
      <c r="Z27" s="5"/>
      <c r="AA27" s="5"/>
      <c r="AB27" s="5"/>
      <c r="AC27" s="5"/>
      <c r="AD27" s="5"/>
    </row>
    <row r="28" ht="15.75" customHeight="1">
      <c r="A28" s="6" t="s">
        <v>24</v>
      </c>
      <c r="B28" s="6" t="s">
        <v>104</v>
      </c>
      <c r="C28" s="6" t="s">
        <v>62</v>
      </c>
      <c r="D28" s="6" t="s">
        <v>27</v>
      </c>
      <c r="E28" s="6" t="s">
        <v>105</v>
      </c>
      <c r="F28" s="6" t="s">
        <v>106</v>
      </c>
      <c r="G28" s="7">
        <v>110.19999999999999</v>
      </c>
      <c r="H28" s="9">
        <f t="shared" si="1"/>
        <v>88.25420168</v>
      </c>
      <c r="I28" s="9">
        <f t="shared" si="2"/>
        <v>231.0084034</v>
      </c>
      <c r="J28" s="9">
        <f t="shared" si="3"/>
        <v>231.0084034</v>
      </c>
      <c r="K28" s="9">
        <f t="shared" si="4"/>
        <v>274.9</v>
      </c>
      <c r="L28" s="6" t="s">
        <v>83</v>
      </c>
      <c r="M28" s="6" t="s">
        <v>48</v>
      </c>
      <c r="N28" s="8">
        <v>411.0</v>
      </c>
      <c r="O28" s="6" t="s">
        <v>62</v>
      </c>
      <c r="P28" s="6" t="s">
        <v>69</v>
      </c>
      <c r="Q28" s="6" t="s">
        <v>70</v>
      </c>
      <c r="R28" s="6" t="s">
        <v>58</v>
      </c>
      <c r="S28" s="6" t="s">
        <v>107</v>
      </c>
      <c r="T28" s="8" t="s">
        <v>112</v>
      </c>
      <c r="U28" s="6" t="s">
        <v>50</v>
      </c>
      <c r="V28" s="6" t="s">
        <v>48</v>
      </c>
      <c r="W28" s="6" t="s">
        <v>48</v>
      </c>
      <c r="X28" s="6" t="s">
        <v>52</v>
      </c>
      <c r="Y28" s="5"/>
      <c r="Z28" s="5"/>
      <c r="AA28" s="5"/>
      <c r="AB28" s="5"/>
      <c r="AC28" s="5"/>
      <c r="AD28" s="5"/>
    </row>
    <row r="29" ht="15.75" customHeight="1">
      <c r="A29" s="6" t="s">
        <v>24</v>
      </c>
      <c r="B29" s="6" t="s">
        <v>104</v>
      </c>
      <c r="C29" s="6" t="s">
        <v>72</v>
      </c>
      <c r="D29" s="6" t="s">
        <v>63</v>
      </c>
      <c r="E29" s="6" t="s">
        <v>105</v>
      </c>
      <c r="F29" s="6" t="s">
        <v>106</v>
      </c>
      <c r="G29" s="7">
        <v>83.52</v>
      </c>
      <c r="H29" s="9">
        <f t="shared" si="1"/>
        <v>65.83403361</v>
      </c>
      <c r="I29" s="9">
        <f t="shared" si="2"/>
        <v>186.1680672</v>
      </c>
      <c r="J29" s="9">
        <f t="shared" si="3"/>
        <v>186.1680672</v>
      </c>
      <c r="K29" s="9">
        <f t="shared" si="4"/>
        <v>221.54</v>
      </c>
      <c r="L29" s="6" t="s">
        <v>83</v>
      </c>
      <c r="M29" s="6" t="s">
        <v>48</v>
      </c>
      <c r="N29" s="8">
        <v>412.0</v>
      </c>
      <c r="O29" s="6" t="s">
        <v>74</v>
      </c>
      <c r="P29" s="6" t="s">
        <v>75</v>
      </c>
      <c r="Q29" s="6" t="s">
        <v>76</v>
      </c>
      <c r="R29" s="6" t="s">
        <v>58</v>
      </c>
      <c r="S29" s="6" t="s">
        <v>107</v>
      </c>
      <c r="T29" s="8" t="s">
        <v>109</v>
      </c>
      <c r="U29" s="6" t="s">
        <v>50</v>
      </c>
      <c r="V29" s="6" t="s">
        <v>48</v>
      </c>
      <c r="W29" s="6" t="s">
        <v>48</v>
      </c>
      <c r="X29" s="6" t="s">
        <v>77</v>
      </c>
      <c r="Y29" s="5"/>
      <c r="Z29" s="5"/>
      <c r="AA29" s="5"/>
      <c r="AB29" s="5"/>
      <c r="AC29" s="5"/>
      <c r="AD29" s="5"/>
    </row>
    <row r="30" ht="15.75" customHeight="1">
      <c r="A30" s="6" t="s">
        <v>24</v>
      </c>
      <c r="B30" s="6" t="s">
        <v>104</v>
      </c>
      <c r="C30" s="6" t="s">
        <v>72</v>
      </c>
      <c r="D30" s="6" t="s">
        <v>54</v>
      </c>
      <c r="E30" s="6" t="s">
        <v>105</v>
      </c>
      <c r="F30" s="6" t="s">
        <v>106</v>
      </c>
      <c r="G30" s="7">
        <v>109.03999999999999</v>
      </c>
      <c r="H30" s="9">
        <f t="shared" si="1"/>
        <v>87.27941176</v>
      </c>
      <c r="I30" s="9">
        <f t="shared" si="2"/>
        <v>229.0588235</v>
      </c>
      <c r="J30" s="9">
        <f t="shared" si="3"/>
        <v>229.0588235</v>
      </c>
      <c r="K30" s="9">
        <f t="shared" si="4"/>
        <v>272.58</v>
      </c>
      <c r="L30" s="6" t="s">
        <v>113</v>
      </c>
      <c r="M30" s="6" t="s">
        <v>48</v>
      </c>
      <c r="N30" s="8">
        <v>574.0</v>
      </c>
      <c r="O30" s="6" t="s">
        <v>74</v>
      </c>
      <c r="P30" s="6" t="s">
        <v>75</v>
      </c>
      <c r="Q30" s="6" t="s">
        <v>76</v>
      </c>
      <c r="R30" s="6" t="s">
        <v>58</v>
      </c>
      <c r="S30" s="6" t="s">
        <v>107</v>
      </c>
      <c r="T30" s="8" t="s">
        <v>111</v>
      </c>
      <c r="U30" s="6" t="s">
        <v>50</v>
      </c>
      <c r="V30" s="6" t="s">
        <v>48</v>
      </c>
      <c r="W30" s="6" t="s">
        <v>48</v>
      </c>
      <c r="X30" s="6" t="s">
        <v>77</v>
      </c>
      <c r="Y30" s="5"/>
      <c r="Z30" s="5"/>
      <c r="AA30" s="5"/>
      <c r="AB30" s="5"/>
      <c r="AC30" s="5"/>
      <c r="AD30" s="5"/>
    </row>
    <row r="31" ht="15.75" customHeight="1">
      <c r="A31" s="6" t="s">
        <v>24</v>
      </c>
      <c r="B31" s="6" t="s">
        <v>104</v>
      </c>
      <c r="C31" s="6" t="s">
        <v>72</v>
      </c>
      <c r="D31" s="6" t="s">
        <v>27</v>
      </c>
      <c r="E31" s="6" t="s">
        <v>105</v>
      </c>
      <c r="F31" s="6" t="s">
        <v>106</v>
      </c>
      <c r="G31" s="7">
        <v>121.8</v>
      </c>
      <c r="H31" s="9">
        <f t="shared" si="1"/>
        <v>98.00210084</v>
      </c>
      <c r="I31" s="9">
        <f t="shared" si="2"/>
        <v>250.5042017</v>
      </c>
      <c r="J31" s="9">
        <f t="shared" si="3"/>
        <v>250.5042017</v>
      </c>
      <c r="K31" s="9">
        <f t="shared" si="4"/>
        <v>298.1</v>
      </c>
      <c r="L31" s="6" t="s">
        <v>114</v>
      </c>
      <c r="M31" s="6" t="s">
        <v>48</v>
      </c>
      <c r="N31" s="8">
        <v>816.0</v>
      </c>
      <c r="O31" s="6" t="s">
        <v>74</v>
      </c>
      <c r="P31" s="6" t="s">
        <v>75</v>
      </c>
      <c r="Q31" s="6" t="s">
        <v>76</v>
      </c>
      <c r="R31" s="6" t="s">
        <v>58</v>
      </c>
      <c r="S31" s="6" t="s">
        <v>107</v>
      </c>
      <c r="T31" s="8" t="s">
        <v>112</v>
      </c>
      <c r="U31" s="6" t="s">
        <v>50</v>
      </c>
      <c r="V31" s="6" t="s">
        <v>48</v>
      </c>
      <c r="W31" s="6" t="s">
        <v>48</v>
      </c>
      <c r="X31" s="6" t="s">
        <v>77</v>
      </c>
      <c r="Y31" s="5"/>
      <c r="Z31" s="5"/>
      <c r="AA31" s="5"/>
      <c r="AB31" s="5"/>
      <c r="AC31" s="5"/>
      <c r="AD31" s="5"/>
    </row>
    <row r="32" ht="15.75" customHeight="1">
      <c r="A32" s="6" t="s">
        <v>24</v>
      </c>
      <c r="B32" s="6" t="s">
        <v>115</v>
      </c>
      <c r="C32" s="6" t="s">
        <v>26</v>
      </c>
      <c r="D32" s="6" t="s">
        <v>63</v>
      </c>
      <c r="E32" s="6" t="s">
        <v>116</v>
      </c>
      <c r="F32" s="6" t="s">
        <v>117</v>
      </c>
      <c r="G32" s="7">
        <v>109.03999999999999</v>
      </c>
      <c r="H32" s="9">
        <f t="shared" si="1"/>
        <v>87.27941176</v>
      </c>
      <c r="I32" s="9">
        <f t="shared" si="2"/>
        <v>229.0588235</v>
      </c>
      <c r="J32" s="9">
        <f t="shared" si="3"/>
        <v>229.0588235</v>
      </c>
      <c r="K32" s="9">
        <f t="shared" si="4"/>
        <v>272.58</v>
      </c>
      <c r="L32" s="6" t="s">
        <v>118</v>
      </c>
      <c r="M32" s="6" t="s">
        <v>37</v>
      </c>
      <c r="N32" s="8">
        <v>444.0</v>
      </c>
      <c r="O32" s="6" t="s">
        <v>40</v>
      </c>
      <c r="P32" s="6" t="s">
        <v>42</v>
      </c>
      <c r="Q32" s="6" t="s">
        <v>44</v>
      </c>
      <c r="R32" s="6" t="s">
        <v>41</v>
      </c>
      <c r="S32" s="6" t="s">
        <v>119</v>
      </c>
      <c r="T32" s="8" t="s">
        <v>120</v>
      </c>
      <c r="U32" s="6" t="s">
        <v>50</v>
      </c>
      <c r="V32" s="6" t="s">
        <v>48</v>
      </c>
      <c r="W32" s="6" t="s">
        <v>48</v>
      </c>
      <c r="X32" s="6" t="s">
        <v>52</v>
      </c>
      <c r="Y32" s="5"/>
      <c r="Z32" s="5"/>
      <c r="AA32" s="5"/>
      <c r="AB32" s="5"/>
      <c r="AC32" s="5"/>
      <c r="AD32" s="5"/>
    </row>
    <row r="33" ht="15.75" customHeight="1">
      <c r="A33" s="6" t="s">
        <v>24</v>
      </c>
      <c r="B33" s="6" t="s">
        <v>115</v>
      </c>
      <c r="C33" s="6" t="s">
        <v>26</v>
      </c>
      <c r="D33" s="6" t="s">
        <v>27</v>
      </c>
      <c r="E33" s="6" t="s">
        <v>116</v>
      </c>
      <c r="F33" s="6" t="s">
        <v>117</v>
      </c>
      <c r="G33" s="7">
        <v>127.6</v>
      </c>
      <c r="H33" s="9">
        <f t="shared" si="1"/>
        <v>102.8760504</v>
      </c>
      <c r="I33" s="9">
        <f t="shared" si="2"/>
        <v>260.2521008</v>
      </c>
      <c r="J33" s="9">
        <f t="shared" si="3"/>
        <v>260.2521008</v>
      </c>
      <c r="K33" s="9">
        <f t="shared" si="4"/>
        <v>309.7</v>
      </c>
      <c r="L33" s="6" t="s">
        <v>121</v>
      </c>
      <c r="M33" s="6" t="s">
        <v>37</v>
      </c>
      <c r="N33" s="8">
        <v>446.0</v>
      </c>
      <c r="O33" s="6" t="s">
        <v>40</v>
      </c>
      <c r="P33" s="6" t="s">
        <v>42</v>
      </c>
      <c r="Q33" s="6" t="s">
        <v>44</v>
      </c>
      <c r="R33" s="6" t="s">
        <v>41</v>
      </c>
      <c r="S33" s="6" t="s">
        <v>119</v>
      </c>
      <c r="T33" s="8" t="s">
        <v>122</v>
      </c>
      <c r="U33" s="6" t="s">
        <v>50</v>
      </c>
      <c r="V33" s="6" t="s">
        <v>48</v>
      </c>
      <c r="W33" s="6" t="s">
        <v>48</v>
      </c>
      <c r="X33" s="6" t="s">
        <v>52</v>
      </c>
      <c r="Y33" s="5"/>
      <c r="Z33" s="5"/>
      <c r="AA33" s="5"/>
      <c r="AB33" s="5"/>
      <c r="AC33" s="5"/>
      <c r="AD33" s="5"/>
    </row>
    <row r="34" ht="15.75" customHeight="1">
      <c r="A34" s="6" t="s">
        <v>24</v>
      </c>
      <c r="B34" s="6" t="s">
        <v>115</v>
      </c>
      <c r="C34" s="6" t="s">
        <v>53</v>
      </c>
      <c r="D34" s="6" t="s">
        <v>63</v>
      </c>
      <c r="E34" s="6" t="s">
        <v>116</v>
      </c>
      <c r="F34" s="6" t="s">
        <v>117</v>
      </c>
      <c r="G34" s="7">
        <v>153.11999999999998</v>
      </c>
      <c r="H34" s="9">
        <f t="shared" si="1"/>
        <v>124.3214286</v>
      </c>
      <c r="I34" s="9">
        <f t="shared" si="2"/>
        <v>303.1428571</v>
      </c>
      <c r="J34" s="9">
        <f t="shared" si="3"/>
        <v>303.1428571</v>
      </c>
      <c r="K34" s="9">
        <f t="shared" si="4"/>
        <v>360.74</v>
      </c>
      <c r="L34" s="6" t="s">
        <v>123</v>
      </c>
      <c r="M34" s="6" t="s">
        <v>48</v>
      </c>
      <c r="N34" s="8">
        <v>448.0</v>
      </c>
      <c r="O34" s="6" t="s">
        <v>53</v>
      </c>
      <c r="P34" s="6" t="s">
        <v>56</v>
      </c>
      <c r="Q34" s="6" t="s">
        <v>57</v>
      </c>
      <c r="R34" s="6" t="s">
        <v>58</v>
      </c>
      <c r="S34" s="6" t="s">
        <v>119</v>
      </c>
      <c r="T34" s="8" t="s">
        <v>124</v>
      </c>
      <c r="U34" s="6" t="s">
        <v>50</v>
      </c>
      <c r="V34" s="6" t="s">
        <v>48</v>
      </c>
      <c r="W34" s="6" t="s">
        <v>48</v>
      </c>
      <c r="X34" s="6" t="s">
        <v>52</v>
      </c>
      <c r="Y34" s="5"/>
      <c r="Z34" s="5"/>
      <c r="AA34" s="5"/>
      <c r="AB34" s="5"/>
      <c r="AC34" s="5"/>
      <c r="AD34" s="5"/>
    </row>
    <row r="35" ht="15.75" customHeight="1">
      <c r="A35" s="6" t="s">
        <v>24</v>
      </c>
      <c r="B35" s="6" t="s">
        <v>115</v>
      </c>
      <c r="C35" s="6" t="s">
        <v>53</v>
      </c>
      <c r="D35" s="6" t="s">
        <v>54</v>
      </c>
      <c r="E35" s="6" t="s">
        <v>116</v>
      </c>
      <c r="F35" s="6" t="s">
        <v>117</v>
      </c>
      <c r="G35" s="7">
        <v>191.39999999999998</v>
      </c>
      <c r="H35" s="9">
        <f t="shared" si="1"/>
        <v>156.4894958</v>
      </c>
      <c r="I35" s="9">
        <f t="shared" si="2"/>
        <v>367.4789916</v>
      </c>
      <c r="J35" s="9">
        <f t="shared" si="3"/>
        <v>367.4789916</v>
      </c>
      <c r="K35" s="9">
        <f t="shared" si="4"/>
        <v>437.3</v>
      </c>
      <c r="L35" s="6" t="s">
        <v>125</v>
      </c>
      <c r="M35" s="6" t="s">
        <v>48</v>
      </c>
      <c r="N35" s="8">
        <v>449.0</v>
      </c>
      <c r="O35" s="6" t="s">
        <v>53</v>
      </c>
      <c r="P35" s="6" t="s">
        <v>56</v>
      </c>
      <c r="Q35" s="6" t="s">
        <v>57</v>
      </c>
      <c r="R35" s="6" t="s">
        <v>58</v>
      </c>
      <c r="S35" s="6" t="s">
        <v>119</v>
      </c>
      <c r="T35" s="8" t="s">
        <v>126</v>
      </c>
      <c r="U35" s="6" t="s">
        <v>50</v>
      </c>
      <c r="V35" s="6" t="s">
        <v>48</v>
      </c>
      <c r="W35" s="6" t="s">
        <v>48</v>
      </c>
      <c r="X35" s="6" t="s">
        <v>52</v>
      </c>
      <c r="Y35" s="5"/>
      <c r="Z35" s="5"/>
      <c r="AA35" s="5"/>
      <c r="AB35" s="5"/>
      <c r="AC35" s="5"/>
      <c r="AD35" s="5"/>
    </row>
    <row r="36" ht="15.75" customHeight="1">
      <c r="A36" s="6" t="s">
        <v>24</v>
      </c>
      <c r="B36" s="6" t="s">
        <v>115</v>
      </c>
      <c r="C36" s="6" t="s">
        <v>53</v>
      </c>
      <c r="D36" s="6" t="s">
        <v>27</v>
      </c>
      <c r="E36" s="6" t="s">
        <v>116</v>
      </c>
      <c r="F36" s="6" t="s">
        <v>117</v>
      </c>
      <c r="G36" s="7">
        <v>229.67999999999998</v>
      </c>
      <c r="H36" s="9">
        <f t="shared" si="1"/>
        <v>188.657563</v>
      </c>
      <c r="I36" s="9">
        <f t="shared" si="2"/>
        <v>431.8151261</v>
      </c>
      <c r="J36" s="9">
        <f t="shared" si="3"/>
        <v>431.8151261</v>
      </c>
      <c r="K36" s="9">
        <f t="shared" si="4"/>
        <v>513.86</v>
      </c>
      <c r="L36" s="6" t="s">
        <v>127</v>
      </c>
      <c r="M36" s="6" t="s">
        <v>48</v>
      </c>
      <c r="N36" s="8">
        <v>450.0</v>
      </c>
      <c r="O36" s="6" t="s">
        <v>53</v>
      </c>
      <c r="P36" s="6" t="s">
        <v>56</v>
      </c>
      <c r="Q36" s="6" t="s">
        <v>57</v>
      </c>
      <c r="R36" s="6" t="s">
        <v>58</v>
      </c>
      <c r="S36" s="6" t="s">
        <v>119</v>
      </c>
      <c r="T36" s="8" t="s">
        <v>128</v>
      </c>
      <c r="U36" s="6" t="s">
        <v>50</v>
      </c>
      <c r="V36" s="6" t="s">
        <v>48</v>
      </c>
      <c r="W36" s="6" t="s">
        <v>48</v>
      </c>
      <c r="X36" s="6" t="s">
        <v>52</v>
      </c>
      <c r="Y36" s="5"/>
      <c r="Z36" s="5"/>
      <c r="AA36" s="5"/>
      <c r="AB36" s="5"/>
      <c r="AC36" s="5"/>
      <c r="AD36" s="5"/>
    </row>
    <row r="37" ht="15.75" customHeight="1">
      <c r="A37" s="6" t="s">
        <v>24</v>
      </c>
      <c r="B37" s="6" t="s">
        <v>115</v>
      </c>
      <c r="C37" s="6" t="s">
        <v>53</v>
      </c>
      <c r="D37" s="6" t="s">
        <v>129</v>
      </c>
      <c r="E37" s="6" t="s">
        <v>116</v>
      </c>
      <c r="F37" s="6" t="s">
        <v>117</v>
      </c>
      <c r="G37" s="7">
        <v>561.4399999999999</v>
      </c>
      <c r="H37" s="9">
        <f t="shared" si="1"/>
        <v>467.447479</v>
      </c>
      <c r="I37" s="9">
        <f t="shared" si="2"/>
        <v>989.394958</v>
      </c>
      <c r="J37" s="9">
        <f t="shared" si="3"/>
        <v>989.394958</v>
      </c>
      <c r="K37" s="9">
        <f t="shared" si="4"/>
        <v>1177.38</v>
      </c>
      <c r="L37" s="6" t="s">
        <v>130</v>
      </c>
      <c r="M37" s="6" t="s">
        <v>48</v>
      </c>
      <c r="N37" s="8">
        <v>1230.0</v>
      </c>
      <c r="O37" s="6" t="s">
        <v>53</v>
      </c>
      <c r="P37" s="6" t="s">
        <v>56</v>
      </c>
      <c r="Q37" s="6" t="s">
        <v>57</v>
      </c>
      <c r="R37" s="6" t="s">
        <v>58</v>
      </c>
      <c r="S37" s="6" t="s">
        <v>119</v>
      </c>
      <c r="T37" s="8" t="s">
        <v>131</v>
      </c>
      <c r="U37" s="6" t="s">
        <v>50</v>
      </c>
      <c r="V37" s="6" t="s">
        <v>48</v>
      </c>
      <c r="W37" s="6" t="s">
        <v>48</v>
      </c>
      <c r="X37" s="6" t="s">
        <v>52</v>
      </c>
      <c r="Y37" s="5"/>
      <c r="Z37" s="5"/>
      <c r="AA37" s="5"/>
      <c r="AB37" s="5"/>
      <c r="AC37" s="5"/>
      <c r="AD37" s="5"/>
    </row>
    <row r="38" ht="15.75" customHeight="1">
      <c r="A38" s="6" t="s">
        <v>24</v>
      </c>
      <c r="B38" s="6" t="s">
        <v>115</v>
      </c>
      <c r="C38" s="6" t="s">
        <v>62</v>
      </c>
      <c r="D38" s="6" t="s">
        <v>63</v>
      </c>
      <c r="E38" s="6" t="s">
        <v>116</v>
      </c>
      <c r="F38" s="6" t="s">
        <v>117</v>
      </c>
      <c r="G38" s="7">
        <v>70.75999999999999</v>
      </c>
      <c r="H38" s="9">
        <f t="shared" si="1"/>
        <v>55.11134454</v>
      </c>
      <c r="I38" s="9">
        <f t="shared" si="2"/>
        <v>164.7226891</v>
      </c>
      <c r="J38" s="9">
        <f t="shared" si="3"/>
        <v>164.7226891</v>
      </c>
      <c r="K38" s="9">
        <f t="shared" si="4"/>
        <v>196.02</v>
      </c>
      <c r="L38" s="6" t="s">
        <v>132</v>
      </c>
      <c r="M38" s="6" t="s">
        <v>48</v>
      </c>
      <c r="N38" s="8">
        <v>436.0</v>
      </c>
      <c r="O38" s="6" t="s">
        <v>62</v>
      </c>
      <c r="P38" s="6" t="s">
        <v>65</v>
      </c>
      <c r="Q38" s="6" t="s">
        <v>66</v>
      </c>
      <c r="R38" s="6" t="s">
        <v>58</v>
      </c>
      <c r="S38" s="6" t="s">
        <v>119</v>
      </c>
      <c r="T38" s="8" t="s">
        <v>124</v>
      </c>
      <c r="U38" s="6" t="s">
        <v>50</v>
      </c>
      <c r="V38" s="6" t="s">
        <v>48</v>
      </c>
      <c r="W38" s="6" t="s">
        <v>48</v>
      </c>
      <c r="X38" s="6" t="s">
        <v>52</v>
      </c>
      <c r="Y38" s="5"/>
      <c r="Z38" s="5"/>
      <c r="AA38" s="5"/>
      <c r="AB38" s="5"/>
      <c r="AC38" s="5"/>
      <c r="AD38" s="5"/>
    </row>
    <row r="39" ht="15.75" customHeight="1">
      <c r="A39" s="6" t="s">
        <v>24</v>
      </c>
      <c r="B39" s="6" t="s">
        <v>115</v>
      </c>
      <c r="C39" s="6" t="s">
        <v>62</v>
      </c>
      <c r="D39" s="6" t="s">
        <v>54</v>
      </c>
      <c r="E39" s="6" t="s">
        <v>116</v>
      </c>
      <c r="F39" s="6" t="s">
        <v>117</v>
      </c>
      <c r="G39" s="7">
        <v>96.27999999999999</v>
      </c>
      <c r="H39" s="9">
        <f t="shared" si="1"/>
        <v>76.55672269</v>
      </c>
      <c r="I39" s="9">
        <f t="shared" si="2"/>
        <v>207.6134454</v>
      </c>
      <c r="J39" s="9">
        <f t="shared" si="3"/>
        <v>207.6134454</v>
      </c>
      <c r="K39" s="9">
        <f t="shared" si="4"/>
        <v>247.06</v>
      </c>
      <c r="L39" s="6" t="s">
        <v>133</v>
      </c>
      <c r="M39" s="6" t="s">
        <v>48</v>
      </c>
      <c r="N39" s="8">
        <v>437.0</v>
      </c>
      <c r="O39" s="6" t="s">
        <v>62</v>
      </c>
      <c r="P39" s="6" t="s">
        <v>69</v>
      </c>
      <c r="Q39" s="6" t="s">
        <v>70</v>
      </c>
      <c r="R39" s="6" t="s">
        <v>58</v>
      </c>
      <c r="S39" s="6" t="s">
        <v>119</v>
      </c>
      <c r="T39" s="8" t="s">
        <v>126</v>
      </c>
      <c r="U39" s="6" t="s">
        <v>50</v>
      </c>
      <c r="V39" s="6" t="s">
        <v>48</v>
      </c>
      <c r="W39" s="6" t="s">
        <v>48</v>
      </c>
      <c r="X39" s="6" t="s">
        <v>52</v>
      </c>
      <c r="Y39" s="5"/>
      <c r="Z39" s="5"/>
      <c r="AA39" s="5"/>
      <c r="AB39" s="5"/>
      <c r="AC39" s="5"/>
      <c r="AD39" s="5"/>
    </row>
    <row r="40" ht="15.75" customHeight="1">
      <c r="A40" s="6" t="s">
        <v>24</v>
      </c>
      <c r="B40" s="6" t="s">
        <v>115</v>
      </c>
      <c r="C40" s="6" t="s">
        <v>62</v>
      </c>
      <c r="D40" s="6" t="s">
        <v>27</v>
      </c>
      <c r="E40" s="6" t="s">
        <v>116</v>
      </c>
      <c r="F40" s="6" t="s">
        <v>117</v>
      </c>
      <c r="G40" s="7">
        <v>110.19999999999999</v>
      </c>
      <c r="H40" s="9">
        <f t="shared" si="1"/>
        <v>88.25420168</v>
      </c>
      <c r="I40" s="9">
        <f t="shared" si="2"/>
        <v>231.0084034</v>
      </c>
      <c r="J40" s="9">
        <f t="shared" si="3"/>
        <v>231.0084034</v>
      </c>
      <c r="K40" s="9">
        <f t="shared" si="4"/>
        <v>274.9</v>
      </c>
      <c r="L40" s="6" t="s">
        <v>134</v>
      </c>
      <c r="M40" s="6" t="s">
        <v>48</v>
      </c>
      <c r="N40" s="8">
        <v>438.0</v>
      </c>
      <c r="O40" s="6" t="s">
        <v>62</v>
      </c>
      <c r="P40" s="6" t="s">
        <v>69</v>
      </c>
      <c r="Q40" s="6" t="s">
        <v>70</v>
      </c>
      <c r="R40" s="6" t="s">
        <v>58</v>
      </c>
      <c r="S40" s="6" t="s">
        <v>119</v>
      </c>
      <c r="T40" s="8" t="s">
        <v>128</v>
      </c>
      <c r="U40" s="6" t="s">
        <v>50</v>
      </c>
      <c r="V40" s="6" t="s">
        <v>48</v>
      </c>
      <c r="W40" s="6" t="s">
        <v>48</v>
      </c>
      <c r="X40" s="6" t="s">
        <v>52</v>
      </c>
      <c r="Y40" s="5"/>
      <c r="Z40" s="5"/>
      <c r="AA40" s="5"/>
      <c r="AB40" s="5"/>
      <c r="AC40" s="5"/>
      <c r="AD40" s="5"/>
    </row>
    <row r="41" ht="15.75" customHeight="1">
      <c r="A41" s="6" t="s">
        <v>24</v>
      </c>
      <c r="B41" s="6" t="s">
        <v>115</v>
      </c>
      <c r="C41" s="6" t="s">
        <v>62</v>
      </c>
      <c r="D41" s="6" t="s">
        <v>129</v>
      </c>
      <c r="E41" s="6" t="s">
        <v>116</v>
      </c>
      <c r="F41" s="6" t="s">
        <v>117</v>
      </c>
      <c r="G41" s="7">
        <v>140.35999999999999</v>
      </c>
      <c r="H41" s="9">
        <f t="shared" si="1"/>
        <v>113.5987395</v>
      </c>
      <c r="I41" s="9">
        <f t="shared" si="2"/>
        <v>281.697479</v>
      </c>
      <c r="J41" s="9">
        <f t="shared" si="3"/>
        <v>281.697479</v>
      </c>
      <c r="K41" s="9">
        <f t="shared" si="4"/>
        <v>335.22</v>
      </c>
      <c r="L41" s="6" t="s">
        <v>135</v>
      </c>
      <c r="M41" s="6" t="s">
        <v>48</v>
      </c>
      <c r="N41" s="8">
        <v>439.0</v>
      </c>
      <c r="O41" s="6" t="s">
        <v>62</v>
      </c>
      <c r="P41" s="6" t="s">
        <v>69</v>
      </c>
      <c r="Q41" s="6" t="s">
        <v>70</v>
      </c>
      <c r="R41" s="6" t="s">
        <v>58</v>
      </c>
      <c r="S41" s="6" t="s">
        <v>119</v>
      </c>
      <c r="T41" s="8" t="s">
        <v>136</v>
      </c>
      <c r="U41" s="6" t="s">
        <v>50</v>
      </c>
      <c r="V41" s="6" t="s">
        <v>48</v>
      </c>
      <c r="W41" s="6" t="s">
        <v>48</v>
      </c>
      <c r="X41" s="6" t="s">
        <v>52</v>
      </c>
      <c r="Y41" s="5"/>
      <c r="Z41" s="5"/>
      <c r="AA41" s="5"/>
      <c r="AB41" s="5"/>
      <c r="AC41" s="5"/>
      <c r="AD41" s="5"/>
    </row>
    <row r="42" ht="15.75" customHeight="1">
      <c r="A42" s="6" t="s">
        <v>24</v>
      </c>
      <c r="B42" s="6" t="s">
        <v>115</v>
      </c>
      <c r="C42" s="6" t="s">
        <v>72</v>
      </c>
      <c r="D42" s="6" t="s">
        <v>63</v>
      </c>
      <c r="E42" s="6" t="s">
        <v>116</v>
      </c>
      <c r="F42" s="6" t="s">
        <v>117</v>
      </c>
      <c r="G42" s="7">
        <v>83.52</v>
      </c>
      <c r="H42" s="9">
        <f t="shared" si="1"/>
        <v>65.83403361</v>
      </c>
      <c r="I42" s="9">
        <f t="shared" si="2"/>
        <v>186.1680672</v>
      </c>
      <c r="J42" s="9">
        <f t="shared" si="3"/>
        <v>186.1680672</v>
      </c>
      <c r="K42" s="9">
        <f t="shared" si="4"/>
        <v>221.54</v>
      </c>
      <c r="L42" s="6" t="s">
        <v>137</v>
      </c>
      <c r="M42" s="6" t="s">
        <v>48</v>
      </c>
      <c r="N42" s="8">
        <v>441.0</v>
      </c>
      <c r="O42" s="6" t="s">
        <v>74</v>
      </c>
      <c r="P42" s="6" t="s">
        <v>75</v>
      </c>
      <c r="Q42" s="6" t="s">
        <v>76</v>
      </c>
      <c r="R42" s="6" t="s">
        <v>58</v>
      </c>
      <c r="S42" s="6" t="s">
        <v>119</v>
      </c>
      <c r="T42" s="8" t="s">
        <v>124</v>
      </c>
      <c r="U42" s="6" t="s">
        <v>50</v>
      </c>
      <c r="V42" s="6" t="s">
        <v>48</v>
      </c>
      <c r="W42" s="6" t="s">
        <v>48</v>
      </c>
      <c r="X42" s="6" t="s">
        <v>77</v>
      </c>
      <c r="Y42" s="5"/>
      <c r="Z42" s="5"/>
      <c r="AA42" s="5"/>
      <c r="AB42" s="5"/>
      <c r="AC42" s="5"/>
      <c r="AD42" s="5"/>
    </row>
    <row r="43" ht="15.75" customHeight="1">
      <c r="A43" s="6" t="s">
        <v>24</v>
      </c>
      <c r="B43" s="6" t="s">
        <v>115</v>
      </c>
      <c r="C43" s="6" t="s">
        <v>72</v>
      </c>
      <c r="D43" s="6" t="s">
        <v>54</v>
      </c>
      <c r="E43" s="6" t="s">
        <v>116</v>
      </c>
      <c r="F43" s="6" t="s">
        <v>117</v>
      </c>
      <c r="G43" s="7">
        <v>109.03999999999999</v>
      </c>
      <c r="H43" s="9">
        <f t="shared" si="1"/>
        <v>87.27941176</v>
      </c>
      <c r="I43" s="9">
        <f t="shared" si="2"/>
        <v>229.0588235</v>
      </c>
      <c r="J43" s="9">
        <f t="shared" si="3"/>
        <v>229.0588235</v>
      </c>
      <c r="K43" s="9">
        <f t="shared" si="4"/>
        <v>272.58</v>
      </c>
      <c r="L43" s="6" t="s">
        <v>138</v>
      </c>
      <c r="M43" s="6" t="s">
        <v>48</v>
      </c>
      <c r="N43" s="8">
        <v>442.0</v>
      </c>
      <c r="O43" s="6" t="s">
        <v>74</v>
      </c>
      <c r="P43" s="6" t="s">
        <v>75</v>
      </c>
      <c r="Q43" s="6" t="s">
        <v>76</v>
      </c>
      <c r="R43" s="6" t="s">
        <v>58</v>
      </c>
      <c r="S43" s="6" t="s">
        <v>119</v>
      </c>
      <c r="T43" s="8" t="s">
        <v>126</v>
      </c>
      <c r="U43" s="6" t="s">
        <v>50</v>
      </c>
      <c r="V43" s="6" t="s">
        <v>48</v>
      </c>
      <c r="W43" s="6" t="s">
        <v>48</v>
      </c>
      <c r="X43" s="6" t="s">
        <v>77</v>
      </c>
      <c r="Y43" s="5"/>
      <c r="Z43" s="5"/>
      <c r="AA43" s="5"/>
      <c r="AB43" s="5"/>
      <c r="AC43" s="5"/>
      <c r="AD43" s="5"/>
    </row>
    <row r="44" ht="15.75" customHeight="1">
      <c r="A44" s="6" t="s">
        <v>24</v>
      </c>
      <c r="B44" s="6" t="s">
        <v>115</v>
      </c>
      <c r="C44" s="6" t="s">
        <v>72</v>
      </c>
      <c r="D44" s="6" t="s">
        <v>27</v>
      </c>
      <c r="E44" s="6" t="s">
        <v>116</v>
      </c>
      <c r="F44" s="6" t="s">
        <v>117</v>
      </c>
      <c r="G44" s="7">
        <v>121.8</v>
      </c>
      <c r="H44" s="9">
        <f t="shared" si="1"/>
        <v>98.00210084</v>
      </c>
      <c r="I44" s="9">
        <f t="shared" si="2"/>
        <v>250.5042017</v>
      </c>
      <c r="J44" s="9">
        <f t="shared" si="3"/>
        <v>250.5042017</v>
      </c>
      <c r="K44" s="9">
        <f t="shared" si="4"/>
        <v>298.1</v>
      </c>
      <c r="L44" s="6" t="s">
        <v>139</v>
      </c>
      <c r="M44" s="6" t="s">
        <v>48</v>
      </c>
      <c r="N44" s="8">
        <v>443.0</v>
      </c>
      <c r="O44" s="6" t="s">
        <v>74</v>
      </c>
      <c r="P44" s="6" t="s">
        <v>75</v>
      </c>
      <c r="Q44" s="6" t="s">
        <v>76</v>
      </c>
      <c r="R44" s="6" t="s">
        <v>58</v>
      </c>
      <c r="S44" s="6" t="s">
        <v>119</v>
      </c>
      <c r="T44" s="8" t="s">
        <v>128</v>
      </c>
      <c r="U44" s="6" t="s">
        <v>50</v>
      </c>
      <c r="V44" s="6" t="s">
        <v>48</v>
      </c>
      <c r="W44" s="6" t="s">
        <v>48</v>
      </c>
      <c r="X44" s="6" t="s">
        <v>77</v>
      </c>
      <c r="Y44" s="5"/>
      <c r="Z44" s="5"/>
      <c r="AA44" s="5"/>
      <c r="AB44" s="5"/>
      <c r="AC44" s="5"/>
      <c r="AD44" s="5"/>
    </row>
    <row r="45" ht="15.75" customHeight="1">
      <c r="A45" s="6" t="s">
        <v>24</v>
      </c>
      <c r="B45" s="6" t="s">
        <v>115</v>
      </c>
      <c r="C45" s="6" t="s">
        <v>72</v>
      </c>
      <c r="D45" s="6" t="s">
        <v>129</v>
      </c>
      <c r="E45" s="6" t="s">
        <v>116</v>
      </c>
      <c r="F45" s="6" t="s">
        <v>117</v>
      </c>
      <c r="G45" s="7">
        <v>229.67999999999998</v>
      </c>
      <c r="H45" s="9">
        <f t="shared" si="1"/>
        <v>188.657563</v>
      </c>
      <c r="I45" s="9">
        <f t="shared" si="2"/>
        <v>431.8151261</v>
      </c>
      <c r="J45" s="9">
        <f t="shared" si="3"/>
        <v>431.8151261</v>
      </c>
      <c r="K45" s="9">
        <f t="shared" si="4"/>
        <v>513.86</v>
      </c>
      <c r="L45" s="6" t="s">
        <v>140</v>
      </c>
      <c r="M45" s="6" t="s">
        <v>48</v>
      </c>
      <c r="N45" s="8">
        <v>3088.0</v>
      </c>
      <c r="O45" s="6" t="s">
        <v>74</v>
      </c>
      <c r="P45" s="6" t="s">
        <v>75</v>
      </c>
      <c r="Q45" s="6" t="s">
        <v>76</v>
      </c>
      <c r="R45" s="6" t="s">
        <v>58</v>
      </c>
      <c r="S45" s="6" t="s">
        <v>119</v>
      </c>
      <c r="T45" s="8" t="s">
        <v>131</v>
      </c>
      <c r="U45" s="6" t="s">
        <v>50</v>
      </c>
      <c r="V45" s="6" t="s">
        <v>48</v>
      </c>
      <c r="W45" s="6" t="s">
        <v>48</v>
      </c>
      <c r="X45" s="6" t="s">
        <v>77</v>
      </c>
      <c r="Y45" s="5"/>
      <c r="Z45" s="5"/>
      <c r="AA45" s="5"/>
      <c r="AB45" s="5"/>
      <c r="AC45" s="5"/>
      <c r="AD45" s="5"/>
    </row>
    <row r="46" ht="15.75" customHeight="1">
      <c r="A46" s="6" t="s">
        <v>24</v>
      </c>
      <c r="B46" s="6" t="s">
        <v>141</v>
      </c>
      <c r="C46" s="6" t="s">
        <v>26</v>
      </c>
      <c r="D46" s="6" t="s">
        <v>27</v>
      </c>
      <c r="E46" s="6" t="s">
        <v>142</v>
      </c>
      <c r="F46" s="6" t="s">
        <v>143</v>
      </c>
      <c r="G46" s="7">
        <v>147.32</v>
      </c>
      <c r="H46" s="9">
        <f t="shared" si="1"/>
        <v>119.447479</v>
      </c>
      <c r="I46" s="9">
        <f t="shared" si="2"/>
        <v>293.394958</v>
      </c>
      <c r="J46" s="9">
        <f t="shared" si="3"/>
        <v>293.394958</v>
      </c>
      <c r="K46" s="9">
        <f t="shared" si="4"/>
        <v>349.14</v>
      </c>
      <c r="L46" s="6" t="s">
        <v>144</v>
      </c>
      <c r="M46" s="6" t="s">
        <v>31</v>
      </c>
      <c r="N46" s="8">
        <v>820.0</v>
      </c>
      <c r="O46" s="6" t="s">
        <v>36</v>
      </c>
      <c r="P46" s="6" t="s">
        <v>38</v>
      </c>
      <c r="Q46" s="6" t="s">
        <v>39</v>
      </c>
      <c r="R46" s="6" t="s">
        <v>41</v>
      </c>
      <c r="S46" s="6" t="s">
        <v>145</v>
      </c>
      <c r="T46" s="8" t="s">
        <v>97</v>
      </c>
      <c r="U46" s="6" t="s">
        <v>50</v>
      </c>
      <c r="V46" s="6" t="s">
        <v>48</v>
      </c>
      <c r="W46" s="6" t="s">
        <v>48</v>
      </c>
      <c r="X46" s="6" t="s">
        <v>51</v>
      </c>
      <c r="Y46" s="5"/>
      <c r="Z46" s="5"/>
      <c r="AA46" s="5"/>
      <c r="AB46" s="5"/>
      <c r="AC46" s="5"/>
      <c r="AD46" s="5"/>
    </row>
    <row r="47" ht="15.75" customHeight="1">
      <c r="A47" s="6" t="s">
        <v>24</v>
      </c>
      <c r="B47" s="6" t="s">
        <v>141</v>
      </c>
      <c r="C47" s="6" t="s">
        <v>26</v>
      </c>
      <c r="D47" s="6" t="s">
        <v>129</v>
      </c>
      <c r="E47" s="6" t="s">
        <v>142</v>
      </c>
      <c r="F47" s="6" t="s">
        <v>143</v>
      </c>
      <c r="G47" s="7">
        <v>178.64</v>
      </c>
      <c r="H47" s="9">
        <f t="shared" si="1"/>
        <v>145.7668067</v>
      </c>
      <c r="I47" s="9">
        <f t="shared" si="2"/>
        <v>346.0336134</v>
      </c>
      <c r="J47" s="9">
        <f t="shared" si="3"/>
        <v>346.0336134</v>
      </c>
      <c r="K47" s="9">
        <f t="shared" si="4"/>
        <v>411.78</v>
      </c>
      <c r="L47" s="6" t="s">
        <v>146</v>
      </c>
      <c r="M47" s="6" t="s">
        <v>31</v>
      </c>
      <c r="N47" s="8">
        <v>1199.0</v>
      </c>
      <c r="O47" s="6" t="s">
        <v>36</v>
      </c>
      <c r="P47" s="6" t="s">
        <v>38</v>
      </c>
      <c r="Q47" s="6" t="s">
        <v>39</v>
      </c>
      <c r="R47" s="6" t="s">
        <v>41</v>
      </c>
      <c r="S47" s="6" t="s">
        <v>145</v>
      </c>
      <c r="T47" s="8" t="s">
        <v>147</v>
      </c>
      <c r="U47" s="6" t="s">
        <v>50</v>
      </c>
      <c r="V47" s="6" t="s">
        <v>48</v>
      </c>
      <c r="W47" s="6" t="s">
        <v>48</v>
      </c>
      <c r="X47" s="6" t="s">
        <v>51</v>
      </c>
      <c r="Y47" s="5"/>
      <c r="Z47" s="5"/>
      <c r="AA47" s="5"/>
      <c r="AB47" s="5"/>
      <c r="AC47" s="5"/>
      <c r="AD47" s="5"/>
    </row>
    <row r="48" ht="15.75" customHeight="1">
      <c r="A48" s="6" t="s">
        <v>24</v>
      </c>
      <c r="B48" s="6" t="s">
        <v>141</v>
      </c>
      <c r="C48" s="6" t="s">
        <v>53</v>
      </c>
      <c r="D48" s="6" t="s">
        <v>54</v>
      </c>
      <c r="E48" s="6" t="s">
        <v>142</v>
      </c>
      <c r="F48" s="6" t="s">
        <v>143</v>
      </c>
      <c r="G48" s="7">
        <v>242.43999999999997</v>
      </c>
      <c r="H48" s="9">
        <f t="shared" si="1"/>
        <v>199.3802521</v>
      </c>
      <c r="I48" s="9">
        <f t="shared" si="2"/>
        <v>453.2605042</v>
      </c>
      <c r="J48" s="9">
        <f t="shared" si="3"/>
        <v>453.2605042</v>
      </c>
      <c r="K48" s="9">
        <f t="shared" si="4"/>
        <v>539.38</v>
      </c>
      <c r="L48" s="6" t="s">
        <v>148</v>
      </c>
      <c r="M48" s="6" t="s">
        <v>84</v>
      </c>
      <c r="N48" s="8">
        <v>536.0</v>
      </c>
      <c r="O48" s="6" t="s">
        <v>85</v>
      </c>
      <c r="P48" s="6" t="s">
        <v>86</v>
      </c>
      <c r="Q48" s="6" t="s">
        <v>57</v>
      </c>
      <c r="R48" s="6" t="s">
        <v>58</v>
      </c>
      <c r="S48" s="6" t="s">
        <v>145</v>
      </c>
      <c r="T48" s="8" t="s">
        <v>149</v>
      </c>
      <c r="U48" s="6" t="s">
        <v>50</v>
      </c>
      <c r="V48" s="6" t="s">
        <v>48</v>
      </c>
      <c r="W48" s="6" t="s">
        <v>48</v>
      </c>
      <c r="X48" s="6" t="s">
        <v>88</v>
      </c>
      <c r="Y48" s="5"/>
      <c r="Z48" s="5"/>
      <c r="AA48" s="5"/>
      <c r="AB48" s="5"/>
      <c r="AC48" s="5"/>
      <c r="AD48" s="5"/>
    </row>
    <row r="49" ht="15.75" customHeight="1">
      <c r="A49" s="6" t="s">
        <v>24</v>
      </c>
      <c r="B49" s="6" t="s">
        <v>141</v>
      </c>
      <c r="C49" s="6" t="s">
        <v>53</v>
      </c>
      <c r="D49" s="6" t="s">
        <v>27</v>
      </c>
      <c r="E49" s="6" t="s">
        <v>142</v>
      </c>
      <c r="F49" s="6" t="s">
        <v>143</v>
      </c>
      <c r="G49" s="7">
        <v>335.23999999999995</v>
      </c>
      <c r="H49" s="9">
        <f t="shared" si="1"/>
        <v>277.3634454</v>
      </c>
      <c r="I49" s="9">
        <f t="shared" si="2"/>
        <v>609.2268908</v>
      </c>
      <c r="J49" s="9">
        <f t="shared" si="3"/>
        <v>609.2268908</v>
      </c>
      <c r="K49" s="9">
        <f t="shared" si="4"/>
        <v>724.98</v>
      </c>
      <c r="L49" s="6" t="s">
        <v>83</v>
      </c>
      <c r="M49" s="6" t="s">
        <v>84</v>
      </c>
      <c r="N49" s="8">
        <v>1906.0</v>
      </c>
      <c r="O49" s="6" t="s">
        <v>85</v>
      </c>
      <c r="P49" s="6" t="s">
        <v>86</v>
      </c>
      <c r="Q49" s="6" t="s">
        <v>57</v>
      </c>
      <c r="R49" s="6" t="s">
        <v>58</v>
      </c>
      <c r="S49" s="6" t="s">
        <v>145</v>
      </c>
      <c r="T49" s="8" t="s">
        <v>150</v>
      </c>
      <c r="U49" s="6" t="s">
        <v>50</v>
      </c>
      <c r="V49" s="6" t="s">
        <v>48</v>
      </c>
      <c r="W49" s="6" t="s">
        <v>48</v>
      </c>
      <c r="X49" s="6" t="s">
        <v>88</v>
      </c>
      <c r="Y49" s="5"/>
      <c r="Z49" s="5"/>
      <c r="AA49" s="5"/>
      <c r="AB49" s="5"/>
      <c r="AC49" s="5"/>
      <c r="AD49" s="5"/>
    </row>
    <row r="50" ht="15.75" customHeight="1">
      <c r="A50" s="6" t="s">
        <v>24</v>
      </c>
      <c r="B50" s="6" t="s">
        <v>141</v>
      </c>
      <c r="C50" s="6" t="s">
        <v>72</v>
      </c>
      <c r="D50" s="6" t="s">
        <v>54</v>
      </c>
      <c r="E50" s="6" t="s">
        <v>142</v>
      </c>
      <c r="F50" s="6" t="s">
        <v>143</v>
      </c>
      <c r="G50" s="7">
        <v>114.83999999999999</v>
      </c>
      <c r="H50" s="9">
        <f t="shared" si="1"/>
        <v>92.15336134</v>
      </c>
      <c r="I50" s="9">
        <f t="shared" si="2"/>
        <v>238.8067227</v>
      </c>
      <c r="J50" s="9">
        <f t="shared" si="3"/>
        <v>238.8067227</v>
      </c>
      <c r="K50" s="9">
        <f t="shared" si="4"/>
        <v>284.18</v>
      </c>
      <c r="L50" s="6" t="s">
        <v>151</v>
      </c>
      <c r="M50" s="6" t="s">
        <v>48</v>
      </c>
      <c r="N50" s="8">
        <v>1136.0</v>
      </c>
      <c r="O50" s="6" t="s">
        <v>74</v>
      </c>
      <c r="P50" s="6" t="s">
        <v>75</v>
      </c>
      <c r="Q50" s="6" t="s">
        <v>76</v>
      </c>
      <c r="R50" s="6" t="s">
        <v>58</v>
      </c>
      <c r="S50" s="6" t="s">
        <v>145</v>
      </c>
      <c r="T50" s="8" t="s">
        <v>149</v>
      </c>
      <c r="U50" s="6" t="s">
        <v>50</v>
      </c>
      <c r="V50" s="6" t="s">
        <v>48</v>
      </c>
      <c r="W50" s="6" t="s">
        <v>48</v>
      </c>
      <c r="X50" s="6" t="s">
        <v>77</v>
      </c>
      <c r="Y50" s="5"/>
      <c r="Z50" s="5"/>
      <c r="AA50" s="5"/>
      <c r="AB50" s="5"/>
      <c r="AC50" s="5"/>
      <c r="AD50" s="5"/>
    </row>
    <row r="51" ht="15.75" customHeight="1">
      <c r="A51" s="6" t="s">
        <v>24</v>
      </c>
      <c r="B51" s="6" t="s">
        <v>152</v>
      </c>
      <c r="C51" s="6" t="s">
        <v>26</v>
      </c>
      <c r="D51" s="6" t="s">
        <v>27</v>
      </c>
      <c r="E51" s="6" t="s">
        <v>153</v>
      </c>
      <c r="F51" s="6" t="s">
        <v>154</v>
      </c>
      <c r="G51" s="7">
        <v>153.11999999999998</v>
      </c>
      <c r="H51" s="9">
        <f t="shared" si="1"/>
        <v>124.3214286</v>
      </c>
      <c r="I51" s="9">
        <f t="shared" si="2"/>
        <v>303.1428571</v>
      </c>
      <c r="J51" s="9">
        <f t="shared" si="3"/>
        <v>303.1428571</v>
      </c>
      <c r="K51" s="9">
        <f t="shared" si="4"/>
        <v>360.74</v>
      </c>
      <c r="L51" s="6" t="s">
        <v>155</v>
      </c>
      <c r="M51" s="6" t="s">
        <v>31</v>
      </c>
      <c r="N51" s="8">
        <v>943.0</v>
      </c>
      <c r="O51" s="6" t="s">
        <v>36</v>
      </c>
      <c r="P51" s="6" t="s">
        <v>38</v>
      </c>
      <c r="Q51" s="6" t="s">
        <v>39</v>
      </c>
      <c r="R51" s="6" t="s">
        <v>41</v>
      </c>
      <c r="S51" s="6" t="s">
        <v>156</v>
      </c>
      <c r="T51" s="8" t="s">
        <v>157</v>
      </c>
      <c r="U51" s="6" t="s">
        <v>50</v>
      </c>
      <c r="V51" s="6" t="s">
        <v>48</v>
      </c>
      <c r="W51" s="6" t="s">
        <v>48</v>
      </c>
      <c r="X51" s="6" t="s">
        <v>51</v>
      </c>
      <c r="Y51" s="5"/>
      <c r="Z51" s="5"/>
      <c r="AA51" s="5"/>
      <c r="AB51" s="5"/>
      <c r="AC51" s="5"/>
      <c r="AD51" s="5"/>
    </row>
    <row r="52" ht="15.75" customHeight="1">
      <c r="A52" s="6" t="s">
        <v>24</v>
      </c>
      <c r="B52" s="6" t="s">
        <v>152</v>
      </c>
      <c r="C52" s="6" t="s">
        <v>53</v>
      </c>
      <c r="D52" s="6" t="s">
        <v>54</v>
      </c>
      <c r="E52" s="6" t="s">
        <v>153</v>
      </c>
      <c r="F52" s="6" t="s">
        <v>154</v>
      </c>
      <c r="G52" s="7">
        <v>242.43999999999997</v>
      </c>
      <c r="H52" s="9">
        <f t="shared" si="1"/>
        <v>199.3802521</v>
      </c>
      <c r="I52" s="9">
        <f t="shared" si="2"/>
        <v>453.2605042</v>
      </c>
      <c r="J52" s="9">
        <f t="shared" si="3"/>
        <v>453.2605042</v>
      </c>
      <c r="K52" s="9">
        <f t="shared" si="4"/>
        <v>539.38</v>
      </c>
      <c r="L52" s="6" t="s">
        <v>158</v>
      </c>
      <c r="M52" s="6" t="s">
        <v>84</v>
      </c>
      <c r="N52" s="8">
        <v>565.0</v>
      </c>
      <c r="O52" s="6" t="s">
        <v>85</v>
      </c>
      <c r="P52" s="6" t="s">
        <v>86</v>
      </c>
      <c r="Q52" s="6" t="s">
        <v>57</v>
      </c>
      <c r="R52" s="6" t="s">
        <v>58</v>
      </c>
      <c r="S52" s="6" t="s">
        <v>156</v>
      </c>
      <c r="T52" s="8" t="s">
        <v>159</v>
      </c>
      <c r="U52" s="6" t="s">
        <v>50</v>
      </c>
      <c r="V52" s="6" t="s">
        <v>48</v>
      </c>
      <c r="W52" s="6" t="s">
        <v>48</v>
      </c>
      <c r="X52" s="6" t="s">
        <v>88</v>
      </c>
      <c r="Y52" s="5"/>
      <c r="Z52" s="5"/>
      <c r="AA52" s="5"/>
      <c r="AB52" s="5"/>
      <c r="AC52" s="5"/>
      <c r="AD52" s="5"/>
    </row>
    <row r="53" ht="15.75" customHeight="1">
      <c r="A53" s="6" t="s">
        <v>24</v>
      </c>
      <c r="B53" s="6" t="s">
        <v>152</v>
      </c>
      <c r="C53" s="6" t="s">
        <v>72</v>
      </c>
      <c r="D53" s="6" t="s">
        <v>54</v>
      </c>
      <c r="E53" s="6" t="s">
        <v>153</v>
      </c>
      <c r="F53" s="6" t="s">
        <v>154</v>
      </c>
      <c r="G53" s="7">
        <v>114.83999999999999</v>
      </c>
      <c r="H53" s="9">
        <f t="shared" si="1"/>
        <v>92.15336134</v>
      </c>
      <c r="I53" s="9">
        <f t="shared" si="2"/>
        <v>238.8067227</v>
      </c>
      <c r="J53" s="9">
        <f t="shared" si="3"/>
        <v>238.8067227</v>
      </c>
      <c r="K53" s="9">
        <f t="shared" si="4"/>
        <v>284.18</v>
      </c>
      <c r="L53" s="6" t="s">
        <v>100</v>
      </c>
      <c r="M53" s="6" t="s">
        <v>48</v>
      </c>
      <c r="N53" s="8">
        <v>1113.0</v>
      </c>
      <c r="O53" s="6" t="s">
        <v>74</v>
      </c>
      <c r="P53" s="6" t="s">
        <v>75</v>
      </c>
      <c r="Q53" s="6" t="s">
        <v>76</v>
      </c>
      <c r="R53" s="6" t="s">
        <v>58</v>
      </c>
      <c r="S53" s="6" t="s">
        <v>156</v>
      </c>
      <c r="T53" s="8" t="s">
        <v>159</v>
      </c>
      <c r="U53" s="6" t="s">
        <v>50</v>
      </c>
      <c r="V53" s="6" t="s">
        <v>48</v>
      </c>
      <c r="W53" s="6" t="s">
        <v>48</v>
      </c>
      <c r="X53" s="6" t="s">
        <v>77</v>
      </c>
      <c r="Y53" s="5"/>
      <c r="Z53" s="5"/>
      <c r="AA53" s="5"/>
      <c r="AB53" s="5"/>
      <c r="AC53" s="5"/>
      <c r="AD53" s="5"/>
    </row>
    <row r="54" ht="15.75" customHeight="1">
      <c r="A54" s="6" t="s">
        <v>24</v>
      </c>
      <c r="B54" s="6" t="s">
        <v>160</v>
      </c>
      <c r="C54" s="6" t="s">
        <v>26</v>
      </c>
      <c r="D54" s="6" t="s">
        <v>27</v>
      </c>
      <c r="E54" s="6" t="s">
        <v>161</v>
      </c>
      <c r="F54" s="6" t="s">
        <v>162</v>
      </c>
      <c r="G54" s="7">
        <v>153.11999999999998</v>
      </c>
      <c r="H54" s="9">
        <f t="shared" si="1"/>
        <v>124.3214286</v>
      </c>
      <c r="I54" s="9">
        <f t="shared" si="2"/>
        <v>303.1428571</v>
      </c>
      <c r="J54" s="9">
        <f t="shared" si="3"/>
        <v>303.1428571</v>
      </c>
      <c r="K54" s="9">
        <f t="shared" si="4"/>
        <v>360.74</v>
      </c>
      <c r="L54" s="6" t="s">
        <v>163</v>
      </c>
      <c r="M54" s="6" t="s">
        <v>31</v>
      </c>
      <c r="N54" s="8">
        <v>1938.0</v>
      </c>
      <c r="O54" s="6" t="s">
        <v>36</v>
      </c>
      <c r="P54" s="6" t="s">
        <v>38</v>
      </c>
      <c r="Q54" s="6" t="s">
        <v>39</v>
      </c>
      <c r="R54" s="6" t="s">
        <v>41</v>
      </c>
      <c r="S54" s="6" t="s">
        <v>164</v>
      </c>
      <c r="T54" s="8" t="s">
        <v>165</v>
      </c>
      <c r="U54" s="6" t="s">
        <v>50</v>
      </c>
      <c r="V54" s="6" t="s">
        <v>48</v>
      </c>
      <c r="W54" s="6" t="s">
        <v>48</v>
      </c>
      <c r="X54" s="6" t="s">
        <v>51</v>
      </c>
      <c r="Y54" s="5"/>
      <c r="Z54" s="5"/>
      <c r="AA54" s="5"/>
      <c r="AB54" s="5"/>
      <c r="AC54" s="5"/>
      <c r="AD54" s="5"/>
    </row>
    <row r="55" ht="15.75" customHeight="1">
      <c r="A55" s="6" t="s">
        <v>24</v>
      </c>
      <c r="B55" s="6" t="s">
        <v>160</v>
      </c>
      <c r="C55" s="6" t="s">
        <v>53</v>
      </c>
      <c r="D55" s="6" t="s">
        <v>54</v>
      </c>
      <c r="E55" s="6" t="s">
        <v>161</v>
      </c>
      <c r="F55" s="6" t="s">
        <v>162</v>
      </c>
      <c r="G55" s="7">
        <v>331.76</v>
      </c>
      <c r="H55" s="9">
        <f t="shared" si="1"/>
        <v>274.4390756</v>
      </c>
      <c r="I55" s="9">
        <f t="shared" si="2"/>
        <v>603.3781513</v>
      </c>
      <c r="J55" s="9">
        <f t="shared" si="3"/>
        <v>603.3781513</v>
      </c>
      <c r="K55" s="9">
        <f t="shared" si="4"/>
        <v>718.02</v>
      </c>
      <c r="L55" s="6" t="s">
        <v>166</v>
      </c>
      <c r="M55" s="6" t="s">
        <v>84</v>
      </c>
      <c r="N55" s="8">
        <v>1003.0</v>
      </c>
      <c r="O55" s="6" t="s">
        <v>85</v>
      </c>
      <c r="P55" s="6" t="s">
        <v>86</v>
      </c>
      <c r="Q55" s="6" t="s">
        <v>57</v>
      </c>
      <c r="R55" s="6" t="s">
        <v>58</v>
      </c>
      <c r="S55" s="6" t="s">
        <v>164</v>
      </c>
      <c r="T55" s="8" t="s">
        <v>167</v>
      </c>
      <c r="U55" s="6" t="s">
        <v>50</v>
      </c>
      <c r="V55" s="6" t="s">
        <v>48</v>
      </c>
      <c r="W55" s="6" t="s">
        <v>48</v>
      </c>
      <c r="X55" s="6" t="s">
        <v>88</v>
      </c>
      <c r="Y55" s="5"/>
      <c r="Z55" s="5"/>
      <c r="AA55" s="5"/>
      <c r="AB55" s="5"/>
      <c r="AC55" s="5"/>
      <c r="AD55" s="5"/>
    </row>
    <row r="56" ht="15.75" customHeight="1">
      <c r="A56" s="6" t="s">
        <v>24</v>
      </c>
      <c r="B56" s="6" t="s">
        <v>160</v>
      </c>
      <c r="C56" s="6" t="s">
        <v>72</v>
      </c>
      <c r="D56" s="6" t="s">
        <v>54</v>
      </c>
      <c r="E56" s="6" t="s">
        <v>161</v>
      </c>
      <c r="F56" s="6" t="s">
        <v>162</v>
      </c>
      <c r="G56" s="7">
        <v>134.56</v>
      </c>
      <c r="H56" s="9">
        <f t="shared" si="1"/>
        <v>108.7247899</v>
      </c>
      <c r="I56" s="9">
        <f t="shared" si="2"/>
        <v>271.9495798</v>
      </c>
      <c r="J56" s="9">
        <f t="shared" si="3"/>
        <v>271.9495798</v>
      </c>
      <c r="K56" s="9">
        <f t="shared" si="4"/>
        <v>323.62</v>
      </c>
      <c r="L56" s="6" t="s">
        <v>168</v>
      </c>
      <c r="M56" s="6" t="s">
        <v>48</v>
      </c>
      <c r="N56" s="8">
        <v>1100.0</v>
      </c>
      <c r="O56" s="6" t="s">
        <v>74</v>
      </c>
      <c r="P56" s="6" t="s">
        <v>75</v>
      </c>
      <c r="Q56" s="6" t="s">
        <v>76</v>
      </c>
      <c r="R56" s="6" t="s">
        <v>58</v>
      </c>
      <c r="S56" s="6" t="s">
        <v>164</v>
      </c>
      <c r="T56" s="8" t="s">
        <v>167</v>
      </c>
      <c r="U56" s="6" t="s">
        <v>50</v>
      </c>
      <c r="V56" s="6" t="s">
        <v>48</v>
      </c>
      <c r="W56" s="6" t="s">
        <v>48</v>
      </c>
      <c r="X56" s="6" t="s">
        <v>77</v>
      </c>
      <c r="Y56" s="5"/>
      <c r="Z56" s="5"/>
      <c r="AA56" s="5"/>
      <c r="AB56" s="5"/>
      <c r="AC56" s="5"/>
      <c r="AD56" s="5"/>
    </row>
    <row r="57" ht="15.75" customHeight="1">
      <c r="A57" s="6" t="s">
        <v>24</v>
      </c>
      <c r="B57" s="6" t="s">
        <v>169</v>
      </c>
      <c r="C57" s="6" t="s">
        <v>26</v>
      </c>
      <c r="D57" s="6" t="s">
        <v>27</v>
      </c>
      <c r="E57" s="6" t="s">
        <v>170</v>
      </c>
      <c r="F57" s="6" t="s">
        <v>171</v>
      </c>
      <c r="G57" s="7">
        <v>139.2</v>
      </c>
      <c r="H57" s="9">
        <f t="shared" si="1"/>
        <v>112.6239496</v>
      </c>
      <c r="I57" s="9">
        <f t="shared" si="2"/>
        <v>279.7478992</v>
      </c>
      <c r="J57" s="9">
        <f t="shared" si="3"/>
        <v>279.7478992</v>
      </c>
      <c r="K57" s="9">
        <f t="shared" si="4"/>
        <v>332.9</v>
      </c>
      <c r="L57" s="6" t="s">
        <v>172</v>
      </c>
      <c r="M57" s="6" t="s">
        <v>37</v>
      </c>
      <c r="N57" s="8">
        <v>6193.0</v>
      </c>
      <c r="O57" s="6" t="s">
        <v>40</v>
      </c>
      <c r="P57" s="6" t="s">
        <v>42</v>
      </c>
      <c r="Q57" s="6" t="s">
        <v>44</v>
      </c>
      <c r="R57" s="6" t="s">
        <v>41</v>
      </c>
      <c r="S57" s="6" t="s">
        <v>173</v>
      </c>
      <c r="T57" s="8" t="s">
        <v>174</v>
      </c>
      <c r="U57" s="6" t="s">
        <v>50</v>
      </c>
      <c r="V57" s="6" t="s">
        <v>48</v>
      </c>
      <c r="W57" s="6" t="s">
        <v>48</v>
      </c>
      <c r="X57" s="6" t="s">
        <v>52</v>
      </c>
      <c r="Y57" s="5"/>
      <c r="Z57" s="5"/>
      <c r="AA57" s="5"/>
      <c r="AB57" s="5"/>
      <c r="AC57" s="5"/>
      <c r="AD57" s="5"/>
    </row>
    <row r="58" ht="15.75" customHeight="1">
      <c r="A58" s="6" t="s">
        <v>24</v>
      </c>
      <c r="B58" s="6" t="s">
        <v>169</v>
      </c>
      <c r="C58" s="6" t="s">
        <v>53</v>
      </c>
      <c r="D58" s="6" t="s">
        <v>54</v>
      </c>
      <c r="E58" s="6" t="s">
        <v>170</v>
      </c>
      <c r="F58" s="6" t="s">
        <v>171</v>
      </c>
      <c r="G58" s="7">
        <v>330.59999999999997</v>
      </c>
      <c r="H58" s="9">
        <f t="shared" si="1"/>
        <v>273.4642857</v>
      </c>
      <c r="I58" s="9">
        <f t="shared" si="2"/>
        <v>601.4285714</v>
      </c>
      <c r="J58" s="9">
        <f t="shared" si="3"/>
        <v>601.4285714</v>
      </c>
      <c r="K58" s="9">
        <f t="shared" si="4"/>
        <v>715.7</v>
      </c>
      <c r="L58" s="6" t="s">
        <v>175</v>
      </c>
      <c r="M58" s="6" t="s">
        <v>48</v>
      </c>
      <c r="N58" s="8">
        <v>6204.0</v>
      </c>
      <c r="O58" s="6" t="s">
        <v>53</v>
      </c>
      <c r="P58" s="6" t="s">
        <v>56</v>
      </c>
      <c r="Q58" s="6" t="s">
        <v>57</v>
      </c>
      <c r="R58" s="6" t="s">
        <v>58</v>
      </c>
      <c r="S58" s="6" t="s">
        <v>173</v>
      </c>
      <c r="T58" s="8" t="s">
        <v>176</v>
      </c>
      <c r="U58" s="6" t="s">
        <v>50</v>
      </c>
      <c r="V58" s="6" t="s">
        <v>48</v>
      </c>
      <c r="W58" s="6" t="s">
        <v>48</v>
      </c>
      <c r="X58" s="6" t="s">
        <v>52</v>
      </c>
      <c r="Y58" s="5"/>
      <c r="Z58" s="5"/>
      <c r="AA58" s="5"/>
      <c r="AB58" s="5"/>
      <c r="AC58" s="5"/>
      <c r="AD58" s="5"/>
    </row>
    <row r="59" ht="15.75" customHeight="1">
      <c r="A59" s="6" t="s">
        <v>24</v>
      </c>
      <c r="B59" s="6" t="s">
        <v>169</v>
      </c>
      <c r="C59" s="6" t="s">
        <v>62</v>
      </c>
      <c r="D59" s="6" t="s">
        <v>27</v>
      </c>
      <c r="E59" s="6" t="s">
        <v>170</v>
      </c>
      <c r="F59" s="6" t="s">
        <v>171</v>
      </c>
      <c r="G59" s="7">
        <v>115.99999999999999</v>
      </c>
      <c r="H59" s="9">
        <f t="shared" si="1"/>
        <v>93.12815126</v>
      </c>
      <c r="I59" s="9">
        <f t="shared" si="2"/>
        <v>240.7563025</v>
      </c>
      <c r="J59" s="9">
        <f t="shared" si="3"/>
        <v>240.7563025</v>
      </c>
      <c r="K59" s="9">
        <f t="shared" si="4"/>
        <v>286.5</v>
      </c>
      <c r="L59" s="6" t="s">
        <v>177</v>
      </c>
      <c r="M59" s="6" t="s">
        <v>48</v>
      </c>
      <c r="N59" s="8">
        <v>954.0</v>
      </c>
      <c r="O59" s="6" t="s">
        <v>62</v>
      </c>
      <c r="P59" s="6" t="s">
        <v>69</v>
      </c>
      <c r="Q59" s="6" t="s">
        <v>70</v>
      </c>
      <c r="R59" s="6" t="s">
        <v>58</v>
      </c>
      <c r="S59" s="6" t="s">
        <v>173</v>
      </c>
      <c r="T59" s="8" t="s">
        <v>178</v>
      </c>
      <c r="U59" s="6" t="s">
        <v>50</v>
      </c>
      <c r="V59" s="6" t="s">
        <v>48</v>
      </c>
      <c r="W59" s="6" t="s">
        <v>48</v>
      </c>
      <c r="X59" s="6" t="s">
        <v>52</v>
      </c>
      <c r="Y59" s="5"/>
      <c r="Z59" s="5"/>
      <c r="AA59" s="5"/>
      <c r="AB59" s="5"/>
      <c r="AC59" s="5"/>
      <c r="AD59" s="5"/>
    </row>
    <row r="60" ht="15.75" customHeight="1">
      <c r="A60" s="6" t="s">
        <v>24</v>
      </c>
      <c r="B60" s="6" t="s">
        <v>169</v>
      </c>
      <c r="C60" s="6" t="s">
        <v>72</v>
      </c>
      <c r="D60" s="6" t="s">
        <v>54</v>
      </c>
      <c r="E60" s="6" t="s">
        <v>170</v>
      </c>
      <c r="F60" s="6" t="s">
        <v>171</v>
      </c>
      <c r="G60" s="7">
        <v>115.99999999999999</v>
      </c>
      <c r="H60" s="9">
        <f t="shared" si="1"/>
        <v>93.12815126</v>
      </c>
      <c r="I60" s="9">
        <f t="shared" si="2"/>
        <v>240.7563025</v>
      </c>
      <c r="J60" s="9">
        <f t="shared" si="3"/>
        <v>240.7563025</v>
      </c>
      <c r="K60" s="9">
        <f t="shared" si="4"/>
        <v>286.5</v>
      </c>
      <c r="L60" s="6" t="s">
        <v>83</v>
      </c>
      <c r="M60" s="6" t="s">
        <v>48</v>
      </c>
      <c r="N60" s="8">
        <v>2002.0</v>
      </c>
      <c r="O60" s="6" t="s">
        <v>74</v>
      </c>
      <c r="P60" s="6" t="s">
        <v>75</v>
      </c>
      <c r="Q60" s="6" t="s">
        <v>76</v>
      </c>
      <c r="R60" s="6" t="s">
        <v>58</v>
      </c>
      <c r="S60" s="6" t="s">
        <v>173</v>
      </c>
      <c r="T60" s="8" t="s">
        <v>176</v>
      </c>
      <c r="U60" s="6" t="s">
        <v>50</v>
      </c>
      <c r="V60" s="6" t="s">
        <v>48</v>
      </c>
      <c r="W60" s="6" t="s">
        <v>48</v>
      </c>
      <c r="X60" s="6" t="s">
        <v>77</v>
      </c>
      <c r="Y60" s="5"/>
      <c r="Z60" s="5"/>
      <c r="AA60" s="5"/>
      <c r="AB60" s="5"/>
      <c r="AC60" s="5"/>
      <c r="AD60" s="5"/>
    </row>
    <row r="61" ht="15.75" customHeight="1">
      <c r="A61" s="6" t="s">
        <v>24</v>
      </c>
      <c r="B61" s="6" t="s">
        <v>169</v>
      </c>
      <c r="C61" s="6" t="s">
        <v>72</v>
      </c>
      <c r="D61" s="6" t="s">
        <v>27</v>
      </c>
      <c r="E61" s="6" t="s">
        <v>170</v>
      </c>
      <c r="F61" s="6" t="s">
        <v>171</v>
      </c>
      <c r="G61" s="7">
        <v>127.6</v>
      </c>
      <c r="H61" s="9">
        <f t="shared" si="1"/>
        <v>102.8760504</v>
      </c>
      <c r="I61" s="9">
        <f t="shared" si="2"/>
        <v>260.2521008</v>
      </c>
      <c r="J61" s="9">
        <f t="shared" si="3"/>
        <v>260.2521008</v>
      </c>
      <c r="K61" s="9">
        <f t="shared" si="4"/>
        <v>309.7</v>
      </c>
      <c r="L61" s="6" t="s">
        <v>179</v>
      </c>
      <c r="M61" s="6" t="s">
        <v>48</v>
      </c>
      <c r="N61" s="8">
        <v>6190.0</v>
      </c>
      <c r="O61" s="6" t="s">
        <v>74</v>
      </c>
      <c r="P61" s="6" t="s">
        <v>75</v>
      </c>
      <c r="Q61" s="6" t="s">
        <v>76</v>
      </c>
      <c r="R61" s="6" t="s">
        <v>58</v>
      </c>
      <c r="S61" s="6" t="s">
        <v>173</v>
      </c>
      <c r="T61" s="8" t="s">
        <v>178</v>
      </c>
      <c r="U61" s="6" t="s">
        <v>50</v>
      </c>
      <c r="V61" s="6" t="s">
        <v>48</v>
      </c>
      <c r="W61" s="6" t="s">
        <v>48</v>
      </c>
      <c r="X61" s="6" t="s">
        <v>77</v>
      </c>
      <c r="Y61" s="5"/>
      <c r="Z61" s="5"/>
      <c r="AA61" s="5"/>
      <c r="AB61" s="5"/>
      <c r="AC61" s="5"/>
      <c r="AD61" s="5"/>
    </row>
    <row r="62" ht="15.75" customHeight="1">
      <c r="A62" s="6" t="s">
        <v>24</v>
      </c>
      <c r="B62" s="6" t="s">
        <v>180</v>
      </c>
      <c r="C62" s="6" t="s">
        <v>26</v>
      </c>
      <c r="D62" s="6" t="s">
        <v>27</v>
      </c>
      <c r="E62" s="6" t="s">
        <v>181</v>
      </c>
      <c r="F62" s="6" t="s">
        <v>182</v>
      </c>
      <c r="G62" s="7">
        <v>153.11999999999998</v>
      </c>
      <c r="H62" s="9">
        <f t="shared" si="1"/>
        <v>124.3214286</v>
      </c>
      <c r="I62" s="9">
        <f t="shared" si="2"/>
        <v>303.1428571</v>
      </c>
      <c r="J62" s="9">
        <f t="shared" si="3"/>
        <v>303.1428571</v>
      </c>
      <c r="K62" s="9">
        <f t="shared" si="4"/>
        <v>360.74</v>
      </c>
      <c r="L62" s="6" t="s">
        <v>183</v>
      </c>
      <c r="M62" s="6" t="s">
        <v>31</v>
      </c>
      <c r="N62" s="8">
        <v>779.0</v>
      </c>
      <c r="O62" s="6" t="s">
        <v>36</v>
      </c>
      <c r="P62" s="6" t="s">
        <v>38</v>
      </c>
      <c r="Q62" s="6" t="s">
        <v>39</v>
      </c>
      <c r="R62" s="6" t="s">
        <v>41</v>
      </c>
      <c r="S62" s="6" t="s">
        <v>184</v>
      </c>
      <c r="T62" s="8" t="s">
        <v>185</v>
      </c>
      <c r="U62" s="6" t="s">
        <v>50</v>
      </c>
      <c r="V62" s="6" t="s">
        <v>48</v>
      </c>
      <c r="W62" s="6" t="s">
        <v>48</v>
      </c>
      <c r="X62" s="6" t="s">
        <v>51</v>
      </c>
      <c r="Y62" s="5"/>
      <c r="Z62" s="5"/>
      <c r="AA62" s="5"/>
      <c r="AB62" s="5"/>
      <c r="AC62" s="5"/>
      <c r="AD62" s="5"/>
    </row>
    <row r="63" ht="15.75" customHeight="1">
      <c r="A63" s="6" t="s">
        <v>24</v>
      </c>
      <c r="B63" s="6" t="s">
        <v>180</v>
      </c>
      <c r="C63" s="6" t="s">
        <v>53</v>
      </c>
      <c r="D63" s="6" t="s">
        <v>54</v>
      </c>
      <c r="E63" s="6" t="s">
        <v>181</v>
      </c>
      <c r="F63" s="6" t="s">
        <v>182</v>
      </c>
      <c r="G63" s="7">
        <v>242.43999999999997</v>
      </c>
      <c r="H63" s="9">
        <f t="shared" si="1"/>
        <v>199.3802521</v>
      </c>
      <c r="I63" s="9">
        <f t="shared" si="2"/>
        <v>453.2605042</v>
      </c>
      <c r="J63" s="9">
        <f t="shared" si="3"/>
        <v>453.2605042</v>
      </c>
      <c r="K63" s="9">
        <f t="shared" si="4"/>
        <v>539.38</v>
      </c>
      <c r="L63" s="6" t="s">
        <v>186</v>
      </c>
      <c r="M63" s="6" t="s">
        <v>84</v>
      </c>
      <c r="N63" s="8">
        <v>741.0</v>
      </c>
      <c r="O63" s="6" t="s">
        <v>85</v>
      </c>
      <c r="P63" s="6" t="s">
        <v>86</v>
      </c>
      <c r="Q63" s="6" t="s">
        <v>57</v>
      </c>
      <c r="R63" s="6" t="s">
        <v>58</v>
      </c>
      <c r="S63" s="6" t="s">
        <v>184</v>
      </c>
      <c r="T63" s="8" t="s">
        <v>187</v>
      </c>
      <c r="U63" s="6" t="s">
        <v>50</v>
      </c>
      <c r="V63" s="6" t="s">
        <v>48</v>
      </c>
      <c r="W63" s="6" t="s">
        <v>48</v>
      </c>
      <c r="X63" s="6" t="s">
        <v>88</v>
      </c>
      <c r="Y63" s="5"/>
      <c r="Z63" s="5"/>
      <c r="AA63" s="5"/>
      <c r="AB63" s="5"/>
      <c r="AC63" s="5"/>
      <c r="AD63" s="5"/>
    </row>
    <row r="64" ht="15.75" customHeight="1">
      <c r="A64" s="6" t="s">
        <v>24</v>
      </c>
      <c r="B64" s="6" t="s">
        <v>180</v>
      </c>
      <c r="C64" s="6" t="s">
        <v>53</v>
      </c>
      <c r="D64" s="6" t="s">
        <v>27</v>
      </c>
      <c r="E64" s="6" t="s">
        <v>181</v>
      </c>
      <c r="F64" s="6" t="s">
        <v>182</v>
      </c>
      <c r="G64" s="7">
        <v>319.0</v>
      </c>
      <c r="H64" s="9">
        <f t="shared" si="1"/>
        <v>263.7163866</v>
      </c>
      <c r="I64" s="9">
        <f t="shared" si="2"/>
        <v>581.9327731</v>
      </c>
      <c r="J64" s="9">
        <f t="shared" si="3"/>
        <v>581.9327731</v>
      </c>
      <c r="K64" s="9">
        <f t="shared" si="4"/>
        <v>692.5</v>
      </c>
      <c r="L64" s="6" t="s">
        <v>188</v>
      </c>
      <c r="M64" s="6" t="s">
        <v>84</v>
      </c>
      <c r="N64" s="8">
        <v>1860.0</v>
      </c>
      <c r="O64" s="6" t="s">
        <v>85</v>
      </c>
      <c r="P64" s="6" t="s">
        <v>86</v>
      </c>
      <c r="Q64" s="6" t="s">
        <v>57</v>
      </c>
      <c r="R64" s="6" t="s">
        <v>58</v>
      </c>
      <c r="S64" s="6" t="s">
        <v>184</v>
      </c>
      <c r="T64" s="8" t="s">
        <v>189</v>
      </c>
      <c r="U64" s="6" t="s">
        <v>50</v>
      </c>
      <c r="V64" s="6" t="s">
        <v>48</v>
      </c>
      <c r="W64" s="6" t="s">
        <v>48</v>
      </c>
      <c r="X64" s="6" t="s">
        <v>88</v>
      </c>
      <c r="Y64" s="5"/>
      <c r="Z64" s="5"/>
      <c r="AA64" s="5"/>
      <c r="AB64" s="5"/>
      <c r="AC64" s="5"/>
      <c r="AD64" s="5"/>
    </row>
    <row r="65" ht="15.75" customHeight="1">
      <c r="A65" s="6" t="s">
        <v>24</v>
      </c>
      <c r="B65" s="6" t="s">
        <v>180</v>
      </c>
      <c r="C65" s="6" t="s">
        <v>72</v>
      </c>
      <c r="D65" s="6" t="s">
        <v>54</v>
      </c>
      <c r="E65" s="6" t="s">
        <v>181</v>
      </c>
      <c r="F65" s="6" t="s">
        <v>182</v>
      </c>
      <c r="G65" s="7">
        <v>114.83999999999999</v>
      </c>
      <c r="H65" s="9">
        <f t="shared" si="1"/>
        <v>92.15336134</v>
      </c>
      <c r="I65" s="9">
        <f t="shared" si="2"/>
        <v>238.8067227</v>
      </c>
      <c r="J65" s="9">
        <f t="shared" si="3"/>
        <v>238.8067227</v>
      </c>
      <c r="K65" s="9">
        <f t="shared" si="4"/>
        <v>284.18</v>
      </c>
      <c r="L65" s="6" t="s">
        <v>190</v>
      </c>
      <c r="M65" s="6" t="s">
        <v>48</v>
      </c>
      <c r="N65" s="8">
        <v>1025.0</v>
      </c>
      <c r="O65" s="6" t="s">
        <v>74</v>
      </c>
      <c r="P65" s="6" t="s">
        <v>75</v>
      </c>
      <c r="Q65" s="6" t="s">
        <v>76</v>
      </c>
      <c r="R65" s="6" t="s">
        <v>58</v>
      </c>
      <c r="S65" s="6" t="s">
        <v>184</v>
      </c>
      <c r="T65" s="8" t="s">
        <v>187</v>
      </c>
      <c r="U65" s="6" t="s">
        <v>50</v>
      </c>
      <c r="V65" s="6" t="s">
        <v>48</v>
      </c>
      <c r="W65" s="6" t="s">
        <v>48</v>
      </c>
      <c r="X65" s="6" t="s">
        <v>77</v>
      </c>
      <c r="Y65" s="5"/>
      <c r="Z65" s="5"/>
      <c r="AA65" s="5"/>
      <c r="AB65" s="5"/>
      <c r="AC65" s="5"/>
      <c r="AD65" s="5"/>
    </row>
    <row r="66" ht="15.75" customHeight="1">
      <c r="A66" s="6" t="s">
        <v>24</v>
      </c>
      <c r="B66" s="6" t="s">
        <v>191</v>
      </c>
      <c r="C66" s="6" t="s">
        <v>26</v>
      </c>
      <c r="D66" s="6" t="s">
        <v>27</v>
      </c>
      <c r="E66" s="6" t="s">
        <v>192</v>
      </c>
      <c r="F66" s="6" t="s">
        <v>193</v>
      </c>
      <c r="G66" s="7">
        <v>156.6</v>
      </c>
      <c r="H66" s="9">
        <f t="shared" si="1"/>
        <v>127.2457983</v>
      </c>
      <c r="I66" s="9">
        <f t="shared" si="2"/>
        <v>308.9915966</v>
      </c>
      <c r="J66" s="9">
        <f t="shared" si="3"/>
        <v>308.9915966</v>
      </c>
      <c r="K66" s="9">
        <f t="shared" si="4"/>
        <v>367.7</v>
      </c>
      <c r="L66" s="6" t="s">
        <v>194</v>
      </c>
      <c r="M66" s="6" t="s">
        <v>31</v>
      </c>
      <c r="N66" s="8">
        <v>765.0</v>
      </c>
      <c r="O66" s="6" t="s">
        <v>36</v>
      </c>
      <c r="P66" s="6" t="s">
        <v>38</v>
      </c>
      <c r="Q66" s="6" t="s">
        <v>39</v>
      </c>
      <c r="R66" s="6" t="s">
        <v>41</v>
      </c>
      <c r="S66" s="6" t="s">
        <v>195</v>
      </c>
      <c r="T66" s="8" t="s">
        <v>196</v>
      </c>
      <c r="U66" s="6" t="s">
        <v>50</v>
      </c>
      <c r="V66" s="6" t="s">
        <v>48</v>
      </c>
      <c r="W66" s="6" t="s">
        <v>48</v>
      </c>
      <c r="X66" s="6" t="s">
        <v>51</v>
      </c>
      <c r="Y66" s="5"/>
      <c r="Z66" s="5"/>
      <c r="AA66" s="5"/>
      <c r="AB66" s="5"/>
      <c r="AC66" s="5"/>
      <c r="AD66" s="5"/>
    </row>
    <row r="67" ht="15.75" customHeight="1">
      <c r="A67" s="6" t="s">
        <v>24</v>
      </c>
      <c r="B67" s="6" t="s">
        <v>191</v>
      </c>
      <c r="C67" s="6" t="s">
        <v>53</v>
      </c>
      <c r="D67" s="6" t="s">
        <v>54</v>
      </c>
      <c r="E67" s="6" t="s">
        <v>192</v>
      </c>
      <c r="F67" s="6" t="s">
        <v>193</v>
      </c>
      <c r="G67" s="7">
        <v>243.6</v>
      </c>
      <c r="H67" s="9">
        <f t="shared" si="1"/>
        <v>200.355042</v>
      </c>
      <c r="I67" s="9">
        <f t="shared" si="2"/>
        <v>455.210084</v>
      </c>
      <c r="J67" s="9">
        <f t="shared" si="3"/>
        <v>455.210084</v>
      </c>
      <c r="K67" s="9">
        <f t="shared" si="4"/>
        <v>541.7</v>
      </c>
      <c r="L67" s="6" t="s">
        <v>197</v>
      </c>
      <c r="M67" s="6" t="s">
        <v>84</v>
      </c>
      <c r="N67" s="8">
        <v>6652.0</v>
      </c>
      <c r="O67" s="6" t="s">
        <v>85</v>
      </c>
      <c r="P67" s="6" t="s">
        <v>86</v>
      </c>
      <c r="Q67" s="6" t="s">
        <v>57</v>
      </c>
      <c r="R67" s="6" t="s">
        <v>58</v>
      </c>
      <c r="S67" s="6" t="s">
        <v>195</v>
      </c>
      <c r="T67" s="8" t="s">
        <v>198</v>
      </c>
      <c r="U67" s="6" t="s">
        <v>50</v>
      </c>
      <c r="V67" s="6" t="s">
        <v>48</v>
      </c>
      <c r="W67" s="6" t="s">
        <v>48</v>
      </c>
      <c r="X67" s="6" t="s">
        <v>88</v>
      </c>
      <c r="Y67" s="5"/>
      <c r="Z67" s="5"/>
      <c r="AA67" s="5"/>
      <c r="AB67" s="5"/>
      <c r="AC67" s="5"/>
      <c r="AD67" s="5"/>
    </row>
    <row r="68" ht="15.75" customHeight="1">
      <c r="A68" s="6" t="s">
        <v>199</v>
      </c>
      <c r="B68" s="6" t="s">
        <v>200</v>
      </c>
      <c r="C68" s="6" t="s">
        <v>26</v>
      </c>
      <c r="D68" s="6" t="s">
        <v>63</v>
      </c>
      <c r="E68" s="6" t="s">
        <v>201</v>
      </c>
      <c r="F68" s="6" t="s">
        <v>202</v>
      </c>
      <c r="G68" s="7">
        <v>150.79999999999998</v>
      </c>
      <c r="H68" s="9">
        <f t="shared" si="1"/>
        <v>122.3718487</v>
      </c>
      <c r="I68" s="9">
        <f t="shared" si="2"/>
        <v>299.2436975</v>
      </c>
      <c r="J68" s="9">
        <f t="shared" si="3"/>
        <v>299.2436975</v>
      </c>
      <c r="K68" s="9">
        <f t="shared" si="4"/>
        <v>356.1</v>
      </c>
      <c r="L68" s="6" t="s">
        <v>177</v>
      </c>
      <c r="M68" s="6" t="s">
        <v>37</v>
      </c>
      <c r="N68" s="8">
        <v>790.0</v>
      </c>
      <c r="O68" s="6" t="s">
        <v>40</v>
      </c>
      <c r="P68" s="6" t="s">
        <v>42</v>
      </c>
      <c r="Q68" s="6" t="s">
        <v>44</v>
      </c>
      <c r="R68" s="6" t="s">
        <v>41</v>
      </c>
      <c r="S68" s="6" t="s">
        <v>203</v>
      </c>
      <c r="T68" s="8" t="s">
        <v>204</v>
      </c>
      <c r="U68" s="6" t="s">
        <v>46</v>
      </c>
      <c r="V68" s="6" t="s">
        <v>48</v>
      </c>
      <c r="W68" s="6" t="s">
        <v>48</v>
      </c>
      <c r="X68" s="6" t="s">
        <v>52</v>
      </c>
      <c r="Y68" s="5"/>
      <c r="Z68" s="5"/>
      <c r="AA68" s="5"/>
      <c r="AB68" s="5"/>
      <c r="AC68" s="5"/>
      <c r="AD68" s="5"/>
    </row>
    <row r="69" ht="15.75" customHeight="1">
      <c r="A69" s="6" t="s">
        <v>199</v>
      </c>
      <c r="B69" s="6" t="s">
        <v>200</v>
      </c>
      <c r="C69" s="6" t="s">
        <v>53</v>
      </c>
      <c r="D69" s="6" t="s">
        <v>63</v>
      </c>
      <c r="E69" s="6" t="s">
        <v>201</v>
      </c>
      <c r="F69" s="6" t="s">
        <v>202</v>
      </c>
      <c r="G69" s="7">
        <v>208.79999999999998</v>
      </c>
      <c r="H69" s="9">
        <f t="shared" si="1"/>
        <v>171.1113445</v>
      </c>
      <c r="I69" s="9">
        <f t="shared" si="2"/>
        <v>396.7226891</v>
      </c>
      <c r="J69" s="9">
        <f t="shared" si="3"/>
        <v>396.7226891</v>
      </c>
      <c r="K69" s="9">
        <f t="shared" si="4"/>
        <v>472.1</v>
      </c>
      <c r="L69" s="6" t="s">
        <v>177</v>
      </c>
      <c r="M69" s="6" t="s">
        <v>48</v>
      </c>
      <c r="N69" s="8">
        <v>1157.0</v>
      </c>
      <c r="O69" s="6" t="s">
        <v>53</v>
      </c>
      <c r="P69" s="6" t="s">
        <v>56</v>
      </c>
      <c r="Q69" s="6" t="s">
        <v>57</v>
      </c>
      <c r="R69" s="6" t="s">
        <v>58</v>
      </c>
      <c r="S69" s="6" t="s">
        <v>203</v>
      </c>
      <c r="T69" s="8" t="s">
        <v>205</v>
      </c>
      <c r="U69" s="6" t="s">
        <v>46</v>
      </c>
      <c r="V69" s="6" t="s">
        <v>48</v>
      </c>
      <c r="W69" s="6" t="s">
        <v>48</v>
      </c>
      <c r="X69" s="6" t="s">
        <v>52</v>
      </c>
      <c r="Y69" s="5"/>
      <c r="Z69" s="5"/>
      <c r="AA69" s="5"/>
      <c r="AB69" s="5"/>
      <c r="AC69" s="5"/>
      <c r="AD69" s="5"/>
    </row>
    <row r="70" ht="15.75" customHeight="1">
      <c r="A70" s="6" t="s">
        <v>199</v>
      </c>
      <c r="B70" s="6" t="s">
        <v>200</v>
      </c>
      <c r="C70" s="6" t="s">
        <v>62</v>
      </c>
      <c r="D70" s="6" t="s">
        <v>63</v>
      </c>
      <c r="E70" s="6" t="s">
        <v>201</v>
      </c>
      <c r="F70" s="6" t="s">
        <v>202</v>
      </c>
      <c r="G70" s="7">
        <v>92.8</v>
      </c>
      <c r="H70" s="9">
        <f t="shared" si="1"/>
        <v>73.63235294</v>
      </c>
      <c r="I70" s="9">
        <f t="shared" si="2"/>
        <v>201.7647059</v>
      </c>
      <c r="J70" s="9">
        <f t="shared" si="3"/>
        <v>201.7647059</v>
      </c>
      <c r="K70" s="9">
        <f t="shared" si="4"/>
        <v>240.1</v>
      </c>
      <c r="L70" s="6" t="s">
        <v>83</v>
      </c>
      <c r="M70" s="6" t="s">
        <v>48</v>
      </c>
      <c r="N70" s="8">
        <v>2.0</v>
      </c>
      <c r="O70" s="6" t="s">
        <v>62</v>
      </c>
      <c r="P70" s="6" t="s">
        <v>65</v>
      </c>
      <c r="Q70" s="6" t="s">
        <v>66</v>
      </c>
      <c r="R70" s="6" t="s">
        <v>58</v>
      </c>
      <c r="S70" s="6" t="s">
        <v>203</v>
      </c>
      <c r="T70" s="8" t="s">
        <v>205</v>
      </c>
      <c r="U70" s="6" t="s">
        <v>46</v>
      </c>
      <c r="V70" s="6" t="s">
        <v>48</v>
      </c>
      <c r="W70" s="6" t="s">
        <v>48</v>
      </c>
      <c r="X70" s="6" t="s">
        <v>52</v>
      </c>
      <c r="Y70" s="5"/>
      <c r="Z70" s="5"/>
      <c r="AA70" s="5"/>
      <c r="AB70" s="5"/>
      <c r="AC70" s="5"/>
      <c r="AD70" s="5"/>
    </row>
    <row r="71" ht="15.75" customHeight="1">
      <c r="A71" s="6" t="s">
        <v>199</v>
      </c>
      <c r="B71" s="6" t="s">
        <v>200</v>
      </c>
      <c r="C71" s="6" t="s">
        <v>72</v>
      </c>
      <c r="D71" s="6" t="s">
        <v>63</v>
      </c>
      <c r="E71" s="6" t="s">
        <v>201</v>
      </c>
      <c r="F71" s="6" t="s">
        <v>202</v>
      </c>
      <c r="G71" s="7">
        <v>104.39999999999999</v>
      </c>
      <c r="H71" s="9">
        <f t="shared" si="1"/>
        <v>83.3802521</v>
      </c>
      <c r="I71" s="9">
        <f t="shared" si="2"/>
        <v>221.2605042</v>
      </c>
      <c r="J71" s="9">
        <f t="shared" si="3"/>
        <v>221.2605042</v>
      </c>
      <c r="K71" s="9">
        <f t="shared" si="4"/>
        <v>263.3</v>
      </c>
      <c r="L71" s="6" t="s">
        <v>83</v>
      </c>
      <c r="M71" s="6" t="s">
        <v>48</v>
      </c>
      <c r="N71" s="8">
        <v>1864.0</v>
      </c>
      <c r="O71" s="6" t="s">
        <v>74</v>
      </c>
      <c r="P71" s="6" t="s">
        <v>206</v>
      </c>
      <c r="Q71" s="6" t="s">
        <v>207</v>
      </c>
      <c r="R71" s="6" t="s">
        <v>58</v>
      </c>
      <c r="S71" s="6" t="s">
        <v>203</v>
      </c>
      <c r="T71" s="8" t="s">
        <v>205</v>
      </c>
      <c r="U71" s="6" t="s">
        <v>46</v>
      </c>
      <c r="V71" s="6" t="s">
        <v>48</v>
      </c>
      <c r="W71" s="6" t="s">
        <v>48</v>
      </c>
      <c r="X71" s="6" t="s">
        <v>77</v>
      </c>
      <c r="Y71" s="5"/>
      <c r="Z71" s="5"/>
      <c r="AA71" s="5"/>
      <c r="AB71" s="5"/>
      <c r="AC71" s="5"/>
      <c r="AD71" s="5"/>
    </row>
    <row r="72" ht="15.75" customHeight="1">
      <c r="A72" s="6" t="s">
        <v>199</v>
      </c>
      <c r="B72" s="6" t="s">
        <v>208</v>
      </c>
      <c r="C72" s="6" t="s">
        <v>26</v>
      </c>
      <c r="D72" s="6" t="s">
        <v>54</v>
      </c>
      <c r="E72" s="6" t="s">
        <v>209</v>
      </c>
      <c r="F72" s="6" t="s">
        <v>210</v>
      </c>
      <c r="G72" s="7">
        <v>121.8</v>
      </c>
      <c r="H72" s="9">
        <f t="shared" si="1"/>
        <v>98.00210084</v>
      </c>
      <c r="I72" s="9">
        <f t="shared" si="2"/>
        <v>250.5042017</v>
      </c>
      <c r="J72" s="9">
        <f t="shared" si="3"/>
        <v>250.5042017</v>
      </c>
      <c r="K72" s="9">
        <f t="shared" si="4"/>
        <v>298.1</v>
      </c>
      <c r="L72" s="6" t="s">
        <v>211</v>
      </c>
      <c r="M72" s="6" t="s">
        <v>37</v>
      </c>
      <c r="N72" s="8">
        <v>24.0</v>
      </c>
      <c r="O72" s="6" t="s">
        <v>40</v>
      </c>
      <c r="P72" s="6" t="s">
        <v>42</v>
      </c>
      <c r="Q72" s="6" t="s">
        <v>44</v>
      </c>
      <c r="R72" s="6" t="s">
        <v>41</v>
      </c>
      <c r="S72" s="6" t="s">
        <v>212</v>
      </c>
      <c r="T72" s="8" t="s">
        <v>213</v>
      </c>
      <c r="U72" s="6" t="s">
        <v>46</v>
      </c>
      <c r="V72" s="6" t="s">
        <v>48</v>
      </c>
      <c r="W72" s="6" t="s">
        <v>48</v>
      </c>
      <c r="X72" s="6" t="s">
        <v>52</v>
      </c>
      <c r="Y72" s="5"/>
      <c r="Z72" s="5"/>
      <c r="AA72" s="5"/>
      <c r="AB72" s="5"/>
      <c r="AC72" s="5"/>
      <c r="AD72" s="5"/>
    </row>
    <row r="73" ht="15.75" customHeight="1">
      <c r="A73" s="6" t="s">
        <v>199</v>
      </c>
      <c r="B73" s="6" t="s">
        <v>208</v>
      </c>
      <c r="C73" s="6" t="s">
        <v>53</v>
      </c>
      <c r="D73" s="6" t="s">
        <v>63</v>
      </c>
      <c r="E73" s="6" t="s">
        <v>209</v>
      </c>
      <c r="F73" s="6" t="s">
        <v>210</v>
      </c>
      <c r="G73" s="7">
        <v>153.11999999999998</v>
      </c>
      <c r="H73" s="9">
        <f t="shared" si="1"/>
        <v>124.3214286</v>
      </c>
      <c r="I73" s="9">
        <f t="shared" si="2"/>
        <v>303.1428571</v>
      </c>
      <c r="J73" s="9">
        <f t="shared" si="3"/>
        <v>303.1428571</v>
      </c>
      <c r="K73" s="9">
        <f t="shared" si="4"/>
        <v>360.74</v>
      </c>
      <c r="L73" s="6" t="s">
        <v>214</v>
      </c>
      <c r="M73" s="6" t="s">
        <v>48</v>
      </c>
      <c r="N73" s="8">
        <v>25.0</v>
      </c>
      <c r="O73" s="6" t="s">
        <v>53</v>
      </c>
      <c r="P73" s="6" t="s">
        <v>56</v>
      </c>
      <c r="Q73" s="6" t="s">
        <v>57</v>
      </c>
      <c r="R73" s="6" t="s">
        <v>58</v>
      </c>
      <c r="S73" s="6" t="s">
        <v>212</v>
      </c>
      <c r="T73" s="8" t="s">
        <v>215</v>
      </c>
      <c r="U73" s="6" t="s">
        <v>46</v>
      </c>
      <c r="V73" s="6" t="s">
        <v>48</v>
      </c>
      <c r="W73" s="6" t="s">
        <v>48</v>
      </c>
      <c r="X73" s="6" t="s">
        <v>52</v>
      </c>
      <c r="Y73" s="5"/>
      <c r="Z73" s="5"/>
      <c r="AA73" s="5"/>
      <c r="AB73" s="5"/>
      <c r="AC73" s="5"/>
      <c r="AD73" s="5"/>
    </row>
    <row r="74" ht="15.75" customHeight="1">
      <c r="A74" s="6" t="s">
        <v>199</v>
      </c>
      <c r="B74" s="6" t="s">
        <v>208</v>
      </c>
      <c r="C74" s="6" t="s">
        <v>53</v>
      </c>
      <c r="D74" s="6" t="s">
        <v>54</v>
      </c>
      <c r="E74" s="6" t="s">
        <v>209</v>
      </c>
      <c r="F74" s="6" t="s">
        <v>210</v>
      </c>
      <c r="G74" s="7">
        <v>204.16</v>
      </c>
      <c r="H74" s="9">
        <f t="shared" si="1"/>
        <v>167.2121849</v>
      </c>
      <c r="I74" s="9">
        <f t="shared" si="2"/>
        <v>388.9243697</v>
      </c>
      <c r="J74" s="9">
        <f t="shared" si="3"/>
        <v>388.9243697</v>
      </c>
      <c r="K74" s="9">
        <f t="shared" si="4"/>
        <v>462.82</v>
      </c>
      <c r="L74" s="6" t="s">
        <v>216</v>
      </c>
      <c r="M74" s="6" t="s">
        <v>48</v>
      </c>
      <c r="N74" s="8">
        <v>27.0</v>
      </c>
      <c r="O74" s="6" t="s">
        <v>53</v>
      </c>
      <c r="P74" s="6" t="s">
        <v>56</v>
      </c>
      <c r="Q74" s="6" t="s">
        <v>57</v>
      </c>
      <c r="R74" s="6" t="s">
        <v>58</v>
      </c>
      <c r="S74" s="6" t="s">
        <v>212</v>
      </c>
      <c r="T74" s="8" t="s">
        <v>217</v>
      </c>
      <c r="U74" s="6" t="s">
        <v>46</v>
      </c>
      <c r="V74" s="6" t="s">
        <v>48</v>
      </c>
      <c r="W74" s="6" t="s">
        <v>48</v>
      </c>
      <c r="X74" s="6" t="s">
        <v>52</v>
      </c>
      <c r="Y74" s="5"/>
      <c r="Z74" s="5"/>
      <c r="AA74" s="5"/>
      <c r="AB74" s="5"/>
      <c r="AC74" s="5"/>
      <c r="AD74" s="5"/>
    </row>
    <row r="75" ht="15.75" customHeight="1">
      <c r="A75" s="6" t="s">
        <v>199</v>
      </c>
      <c r="B75" s="6" t="s">
        <v>208</v>
      </c>
      <c r="C75" s="6" t="s">
        <v>62</v>
      </c>
      <c r="D75" s="6" t="s">
        <v>63</v>
      </c>
      <c r="E75" s="6" t="s">
        <v>209</v>
      </c>
      <c r="F75" s="6" t="s">
        <v>210</v>
      </c>
      <c r="G75" s="7">
        <v>83.52</v>
      </c>
      <c r="H75" s="9">
        <f t="shared" si="1"/>
        <v>65.83403361</v>
      </c>
      <c r="I75" s="9">
        <f t="shared" si="2"/>
        <v>186.1680672</v>
      </c>
      <c r="J75" s="9">
        <f t="shared" si="3"/>
        <v>186.1680672</v>
      </c>
      <c r="K75" s="9">
        <f t="shared" si="4"/>
        <v>221.54</v>
      </c>
      <c r="L75" s="6" t="s">
        <v>218</v>
      </c>
      <c r="M75" s="6" t="s">
        <v>48</v>
      </c>
      <c r="N75" s="8">
        <v>17.0</v>
      </c>
      <c r="O75" s="6" t="s">
        <v>62</v>
      </c>
      <c r="P75" s="6" t="s">
        <v>65</v>
      </c>
      <c r="Q75" s="6" t="s">
        <v>66</v>
      </c>
      <c r="R75" s="6" t="s">
        <v>58</v>
      </c>
      <c r="S75" s="6" t="s">
        <v>212</v>
      </c>
      <c r="T75" s="8" t="s">
        <v>215</v>
      </c>
      <c r="U75" s="6" t="s">
        <v>46</v>
      </c>
      <c r="V75" s="6" t="s">
        <v>48</v>
      </c>
      <c r="W75" s="6" t="s">
        <v>48</v>
      </c>
      <c r="X75" s="6" t="s">
        <v>52</v>
      </c>
      <c r="Y75" s="5"/>
      <c r="Z75" s="5"/>
      <c r="AA75" s="5"/>
      <c r="AB75" s="5"/>
      <c r="AC75" s="5"/>
      <c r="AD75" s="5"/>
    </row>
    <row r="76" ht="15.75" customHeight="1">
      <c r="A76" s="6" t="s">
        <v>199</v>
      </c>
      <c r="B76" s="6" t="s">
        <v>208</v>
      </c>
      <c r="C76" s="6" t="s">
        <v>62</v>
      </c>
      <c r="D76" s="6" t="s">
        <v>54</v>
      </c>
      <c r="E76" s="6" t="s">
        <v>209</v>
      </c>
      <c r="F76" s="6" t="s">
        <v>210</v>
      </c>
      <c r="G76" s="7">
        <v>109.03999999999999</v>
      </c>
      <c r="H76" s="9">
        <f t="shared" si="1"/>
        <v>87.27941176</v>
      </c>
      <c r="I76" s="9">
        <f t="shared" si="2"/>
        <v>229.0588235</v>
      </c>
      <c r="J76" s="9">
        <f t="shared" si="3"/>
        <v>229.0588235</v>
      </c>
      <c r="K76" s="9">
        <f t="shared" si="4"/>
        <v>272.58</v>
      </c>
      <c r="L76" s="6" t="s">
        <v>219</v>
      </c>
      <c r="M76" s="6" t="s">
        <v>48</v>
      </c>
      <c r="N76" s="8">
        <v>20.0</v>
      </c>
      <c r="O76" s="6" t="s">
        <v>62</v>
      </c>
      <c r="P76" s="6" t="s">
        <v>69</v>
      </c>
      <c r="Q76" s="6" t="s">
        <v>70</v>
      </c>
      <c r="R76" s="6" t="s">
        <v>58</v>
      </c>
      <c r="S76" s="6" t="s">
        <v>212</v>
      </c>
      <c r="T76" s="8" t="s">
        <v>217</v>
      </c>
      <c r="U76" s="6" t="s">
        <v>46</v>
      </c>
      <c r="V76" s="6" t="s">
        <v>48</v>
      </c>
      <c r="W76" s="6" t="s">
        <v>48</v>
      </c>
      <c r="X76" s="6" t="s">
        <v>52</v>
      </c>
      <c r="Y76" s="5"/>
      <c r="Z76" s="5"/>
      <c r="AA76" s="5"/>
      <c r="AB76" s="5"/>
      <c r="AC76" s="5"/>
      <c r="AD76" s="5"/>
    </row>
    <row r="77" ht="15.75" customHeight="1">
      <c r="A77" s="6" t="s">
        <v>199</v>
      </c>
      <c r="B77" s="6" t="s">
        <v>208</v>
      </c>
      <c r="C77" s="6" t="s">
        <v>72</v>
      </c>
      <c r="D77" s="6" t="s">
        <v>63</v>
      </c>
      <c r="E77" s="6" t="s">
        <v>209</v>
      </c>
      <c r="F77" s="6" t="s">
        <v>210</v>
      </c>
      <c r="G77" s="7">
        <v>83.52</v>
      </c>
      <c r="H77" s="9">
        <f t="shared" si="1"/>
        <v>65.83403361</v>
      </c>
      <c r="I77" s="9">
        <f t="shared" si="2"/>
        <v>186.1680672</v>
      </c>
      <c r="J77" s="9">
        <f t="shared" si="3"/>
        <v>186.1680672</v>
      </c>
      <c r="K77" s="9">
        <f t="shared" si="4"/>
        <v>221.54</v>
      </c>
      <c r="L77" s="6" t="s">
        <v>220</v>
      </c>
      <c r="M77" s="6" t="s">
        <v>48</v>
      </c>
      <c r="N77" s="8">
        <v>22.0</v>
      </c>
      <c r="O77" s="6" t="s">
        <v>74</v>
      </c>
      <c r="P77" s="6" t="s">
        <v>75</v>
      </c>
      <c r="Q77" s="6" t="s">
        <v>76</v>
      </c>
      <c r="R77" s="6" t="s">
        <v>58</v>
      </c>
      <c r="S77" s="6" t="s">
        <v>212</v>
      </c>
      <c r="T77" s="8" t="s">
        <v>215</v>
      </c>
      <c r="U77" s="6" t="s">
        <v>46</v>
      </c>
      <c r="V77" s="6" t="s">
        <v>48</v>
      </c>
      <c r="W77" s="6" t="s">
        <v>48</v>
      </c>
      <c r="X77" s="6" t="s">
        <v>77</v>
      </c>
      <c r="Y77" s="5"/>
      <c r="Z77" s="5"/>
      <c r="AA77" s="5"/>
      <c r="AB77" s="5"/>
      <c r="AC77" s="5"/>
      <c r="AD77" s="5"/>
    </row>
    <row r="78" ht="15.75" customHeight="1">
      <c r="A78" s="6" t="s">
        <v>199</v>
      </c>
      <c r="B78" s="6" t="s">
        <v>221</v>
      </c>
      <c r="C78" s="6" t="s">
        <v>26</v>
      </c>
      <c r="D78" s="6" t="s">
        <v>63</v>
      </c>
      <c r="E78" s="6" t="s">
        <v>222</v>
      </c>
      <c r="F78" s="6" t="s">
        <v>223</v>
      </c>
      <c r="G78" s="7">
        <v>102.08</v>
      </c>
      <c r="H78" s="9">
        <f t="shared" si="1"/>
        <v>81.43067227</v>
      </c>
      <c r="I78" s="9">
        <f t="shared" si="2"/>
        <v>217.3613445</v>
      </c>
      <c r="J78" s="9">
        <f t="shared" si="3"/>
        <v>217.3613445</v>
      </c>
      <c r="K78" s="9">
        <f t="shared" si="4"/>
        <v>258.66</v>
      </c>
      <c r="L78" s="6" t="s">
        <v>224</v>
      </c>
      <c r="M78" s="6" t="s">
        <v>37</v>
      </c>
      <c r="N78" s="8">
        <v>50.0</v>
      </c>
      <c r="O78" s="6" t="s">
        <v>40</v>
      </c>
      <c r="P78" s="6" t="s">
        <v>42</v>
      </c>
      <c r="Q78" s="6" t="s">
        <v>44</v>
      </c>
      <c r="R78" s="6" t="s">
        <v>41</v>
      </c>
      <c r="S78" s="6" t="s">
        <v>225</v>
      </c>
      <c r="T78" s="8" t="s">
        <v>226</v>
      </c>
      <c r="U78" s="6" t="s">
        <v>46</v>
      </c>
      <c r="V78" s="6" t="s">
        <v>48</v>
      </c>
      <c r="W78" s="6" t="s">
        <v>48</v>
      </c>
      <c r="X78" s="6" t="s">
        <v>52</v>
      </c>
      <c r="Y78" s="5"/>
      <c r="Z78" s="5"/>
      <c r="AA78" s="5"/>
      <c r="AB78" s="5"/>
      <c r="AC78" s="5"/>
      <c r="AD78" s="5"/>
    </row>
    <row r="79" ht="15.75" customHeight="1">
      <c r="A79" s="6" t="s">
        <v>199</v>
      </c>
      <c r="B79" s="6" t="s">
        <v>221</v>
      </c>
      <c r="C79" s="6" t="s">
        <v>26</v>
      </c>
      <c r="D79" s="6" t="s">
        <v>54</v>
      </c>
      <c r="E79" s="6" t="s">
        <v>222</v>
      </c>
      <c r="F79" s="6" t="s">
        <v>223</v>
      </c>
      <c r="G79" s="7">
        <v>121.8</v>
      </c>
      <c r="H79" s="9">
        <f t="shared" si="1"/>
        <v>98.00210084</v>
      </c>
      <c r="I79" s="9">
        <f t="shared" si="2"/>
        <v>250.5042017</v>
      </c>
      <c r="J79" s="9">
        <f t="shared" si="3"/>
        <v>250.5042017</v>
      </c>
      <c r="K79" s="9">
        <f t="shared" si="4"/>
        <v>298.1</v>
      </c>
      <c r="L79" s="6" t="s">
        <v>227</v>
      </c>
      <c r="M79" s="6" t="s">
        <v>37</v>
      </c>
      <c r="N79" s="8">
        <v>51.0</v>
      </c>
      <c r="O79" s="6" t="s">
        <v>40</v>
      </c>
      <c r="P79" s="6" t="s">
        <v>42</v>
      </c>
      <c r="Q79" s="6" t="s">
        <v>44</v>
      </c>
      <c r="R79" s="6" t="s">
        <v>41</v>
      </c>
      <c r="S79" s="6" t="s">
        <v>225</v>
      </c>
      <c r="T79" s="8" t="s">
        <v>228</v>
      </c>
      <c r="U79" s="6" t="s">
        <v>46</v>
      </c>
      <c r="V79" s="6" t="s">
        <v>48</v>
      </c>
      <c r="W79" s="6" t="s">
        <v>48</v>
      </c>
      <c r="X79" s="6" t="s">
        <v>52</v>
      </c>
      <c r="Y79" s="5"/>
      <c r="Z79" s="5"/>
      <c r="AA79" s="5"/>
      <c r="AB79" s="5"/>
      <c r="AC79" s="5"/>
      <c r="AD79" s="5"/>
    </row>
    <row r="80" ht="15.75" customHeight="1">
      <c r="A80" s="6" t="s">
        <v>199</v>
      </c>
      <c r="B80" s="6" t="s">
        <v>221</v>
      </c>
      <c r="C80" s="6" t="s">
        <v>26</v>
      </c>
      <c r="D80" s="6" t="s">
        <v>27</v>
      </c>
      <c r="E80" s="6" t="s">
        <v>222</v>
      </c>
      <c r="F80" s="6" t="s">
        <v>223</v>
      </c>
      <c r="G80" s="7">
        <v>140.35999999999999</v>
      </c>
      <c r="H80" s="9">
        <f t="shared" si="1"/>
        <v>113.5987395</v>
      </c>
      <c r="I80" s="9">
        <f t="shared" si="2"/>
        <v>281.697479</v>
      </c>
      <c r="J80" s="9">
        <f t="shared" si="3"/>
        <v>281.697479</v>
      </c>
      <c r="K80" s="9">
        <f t="shared" si="4"/>
        <v>335.22</v>
      </c>
      <c r="L80" s="6" t="s">
        <v>229</v>
      </c>
      <c r="M80" s="6" t="s">
        <v>37</v>
      </c>
      <c r="N80" s="8">
        <v>52.0</v>
      </c>
      <c r="O80" s="6" t="s">
        <v>40</v>
      </c>
      <c r="P80" s="6" t="s">
        <v>42</v>
      </c>
      <c r="Q80" s="6" t="s">
        <v>44</v>
      </c>
      <c r="R80" s="6" t="s">
        <v>41</v>
      </c>
      <c r="S80" s="6" t="s">
        <v>225</v>
      </c>
      <c r="T80" s="8" t="s">
        <v>230</v>
      </c>
      <c r="U80" s="6" t="s">
        <v>46</v>
      </c>
      <c r="V80" s="6" t="s">
        <v>48</v>
      </c>
      <c r="W80" s="6" t="s">
        <v>48</v>
      </c>
      <c r="X80" s="6" t="s">
        <v>52</v>
      </c>
      <c r="Y80" s="5"/>
      <c r="Z80" s="5"/>
      <c r="AA80" s="5"/>
      <c r="AB80" s="5"/>
      <c r="AC80" s="5"/>
      <c r="AD80" s="5"/>
    </row>
    <row r="81" ht="15.75" customHeight="1">
      <c r="A81" s="6" t="s">
        <v>199</v>
      </c>
      <c r="B81" s="6" t="s">
        <v>221</v>
      </c>
      <c r="C81" s="6" t="s">
        <v>53</v>
      </c>
      <c r="D81" s="6" t="s">
        <v>54</v>
      </c>
      <c r="E81" s="6" t="s">
        <v>222</v>
      </c>
      <c r="F81" s="6" t="s">
        <v>223</v>
      </c>
      <c r="G81" s="7">
        <v>191.39999999999998</v>
      </c>
      <c r="H81" s="9">
        <f t="shared" si="1"/>
        <v>156.4894958</v>
      </c>
      <c r="I81" s="9">
        <f t="shared" si="2"/>
        <v>367.4789916</v>
      </c>
      <c r="J81" s="9">
        <f t="shared" si="3"/>
        <v>367.4789916</v>
      </c>
      <c r="K81" s="9">
        <f t="shared" si="4"/>
        <v>437.3</v>
      </c>
      <c r="L81" s="6" t="s">
        <v>231</v>
      </c>
      <c r="M81" s="6" t="s">
        <v>48</v>
      </c>
      <c r="N81" s="8">
        <v>59.0</v>
      </c>
      <c r="O81" s="6" t="s">
        <v>53</v>
      </c>
      <c r="P81" s="6" t="s">
        <v>56</v>
      </c>
      <c r="Q81" s="6" t="s">
        <v>57</v>
      </c>
      <c r="R81" s="6" t="s">
        <v>58</v>
      </c>
      <c r="S81" s="6" t="s">
        <v>225</v>
      </c>
      <c r="T81" s="8" t="s">
        <v>232</v>
      </c>
      <c r="U81" s="6" t="s">
        <v>46</v>
      </c>
      <c r="V81" s="6" t="s">
        <v>48</v>
      </c>
      <c r="W81" s="6" t="s">
        <v>48</v>
      </c>
      <c r="X81" s="6" t="s">
        <v>52</v>
      </c>
      <c r="Y81" s="5"/>
      <c r="Z81" s="5"/>
      <c r="AA81" s="5"/>
      <c r="AB81" s="5"/>
      <c r="AC81" s="5"/>
      <c r="AD81" s="5"/>
    </row>
    <row r="82" ht="15.75" customHeight="1">
      <c r="A82" s="6" t="s">
        <v>199</v>
      </c>
      <c r="B82" s="6" t="s">
        <v>221</v>
      </c>
      <c r="C82" s="6" t="s">
        <v>53</v>
      </c>
      <c r="D82" s="6" t="s">
        <v>27</v>
      </c>
      <c r="E82" s="6" t="s">
        <v>222</v>
      </c>
      <c r="F82" s="6" t="s">
        <v>223</v>
      </c>
      <c r="G82" s="7">
        <v>223.88</v>
      </c>
      <c r="H82" s="9">
        <f t="shared" si="1"/>
        <v>183.7836134</v>
      </c>
      <c r="I82" s="9">
        <f t="shared" si="2"/>
        <v>422.0672269</v>
      </c>
      <c r="J82" s="9">
        <f t="shared" si="3"/>
        <v>422.0672269</v>
      </c>
      <c r="K82" s="9">
        <f t="shared" si="4"/>
        <v>502.26</v>
      </c>
      <c r="L82" s="6" t="s">
        <v>233</v>
      </c>
      <c r="M82" s="6" t="s">
        <v>48</v>
      </c>
      <c r="N82" s="8">
        <v>60.0</v>
      </c>
      <c r="O82" s="6" t="s">
        <v>53</v>
      </c>
      <c r="P82" s="6" t="s">
        <v>56</v>
      </c>
      <c r="Q82" s="6" t="s">
        <v>57</v>
      </c>
      <c r="R82" s="6" t="s">
        <v>58</v>
      </c>
      <c r="S82" s="6" t="s">
        <v>225</v>
      </c>
      <c r="T82" s="8" t="s">
        <v>234</v>
      </c>
      <c r="U82" s="6" t="s">
        <v>46</v>
      </c>
      <c r="V82" s="6" t="s">
        <v>48</v>
      </c>
      <c r="W82" s="6" t="s">
        <v>48</v>
      </c>
      <c r="X82" s="6" t="s">
        <v>52</v>
      </c>
      <c r="Y82" s="5"/>
      <c r="Z82" s="5"/>
      <c r="AA82" s="5"/>
      <c r="AB82" s="5"/>
      <c r="AC82" s="5"/>
      <c r="AD82" s="5"/>
    </row>
    <row r="83" ht="15.75" customHeight="1">
      <c r="A83" s="6" t="s">
        <v>199</v>
      </c>
      <c r="B83" s="6" t="s">
        <v>221</v>
      </c>
      <c r="C83" s="6" t="s">
        <v>62</v>
      </c>
      <c r="D83" s="6" t="s">
        <v>63</v>
      </c>
      <c r="E83" s="6" t="s">
        <v>222</v>
      </c>
      <c r="F83" s="6" t="s">
        <v>223</v>
      </c>
      <c r="G83" s="7">
        <v>83.52</v>
      </c>
      <c r="H83" s="9">
        <f t="shared" si="1"/>
        <v>65.83403361</v>
      </c>
      <c r="I83" s="9">
        <f t="shared" si="2"/>
        <v>186.1680672</v>
      </c>
      <c r="J83" s="9">
        <f t="shared" si="3"/>
        <v>186.1680672</v>
      </c>
      <c r="K83" s="9">
        <f t="shared" si="4"/>
        <v>221.54</v>
      </c>
      <c r="L83" s="6" t="s">
        <v>135</v>
      </c>
      <c r="M83" s="6" t="s">
        <v>48</v>
      </c>
      <c r="N83" s="8">
        <v>40.0</v>
      </c>
      <c r="O83" s="6" t="s">
        <v>62</v>
      </c>
      <c r="P83" s="6" t="s">
        <v>65</v>
      </c>
      <c r="Q83" s="6" t="s">
        <v>66</v>
      </c>
      <c r="R83" s="6" t="s">
        <v>58</v>
      </c>
      <c r="S83" s="6" t="s">
        <v>225</v>
      </c>
      <c r="T83" s="8" t="s">
        <v>235</v>
      </c>
      <c r="U83" s="6" t="s">
        <v>46</v>
      </c>
      <c r="V83" s="6" t="s">
        <v>48</v>
      </c>
      <c r="W83" s="6" t="s">
        <v>48</v>
      </c>
      <c r="X83" s="6" t="s">
        <v>52</v>
      </c>
      <c r="Y83" s="5"/>
      <c r="Z83" s="5"/>
      <c r="AA83" s="5"/>
      <c r="AB83" s="5"/>
      <c r="AC83" s="5"/>
      <c r="AD83" s="5"/>
    </row>
    <row r="84" ht="15.75" customHeight="1">
      <c r="A84" s="6" t="s">
        <v>199</v>
      </c>
      <c r="B84" s="6" t="s">
        <v>221</v>
      </c>
      <c r="C84" s="6" t="s">
        <v>62</v>
      </c>
      <c r="D84" s="6" t="s">
        <v>54</v>
      </c>
      <c r="E84" s="6" t="s">
        <v>222</v>
      </c>
      <c r="F84" s="6" t="s">
        <v>223</v>
      </c>
      <c r="G84" s="7">
        <v>109.03999999999999</v>
      </c>
      <c r="H84" s="9">
        <f t="shared" si="1"/>
        <v>87.27941176</v>
      </c>
      <c r="I84" s="9">
        <f t="shared" si="2"/>
        <v>229.0588235</v>
      </c>
      <c r="J84" s="9">
        <f t="shared" si="3"/>
        <v>229.0588235</v>
      </c>
      <c r="K84" s="9">
        <f t="shared" si="4"/>
        <v>272.58</v>
      </c>
      <c r="L84" s="6" t="s">
        <v>175</v>
      </c>
      <c r="M84" s="6" t="s">
        <v>48</v>
      </c>
      <c r="N84" s="8">
        <v>41.0</v>
      </c>
      <c r="O84" s="6" t="s">
        <v>62</v>
      </c>
      <c r="P84" s="6" t="s">
        <v>69</v>
      </c>
      <c r="Q84" s="6" t="s">
        <v>70</v>
      </c>
      <c r="R84" s="6" t="s">
        <v>58</v>
      </c>
      <c r="S84" s="6" t="s">
        <v>225</v>
      </c>
      <c r="T84" s="8" t="s">
        <v>232</v>
      </c>
      <c r="U84" s="6" t="s">
        <v>46</v>
      </c>
      <c r="V84" s="6" t="s">
        <v>48</v>
      </c>
      <c r="W84" s="6" t="s">
        <v>48</v>
      </c>
      <c r="X84" s="6" t="s">
        <v>52</v>
      </c>
      <c r="Y84" s="5"/>
      <c r="Z84" s="5"/>
      <c r="AA84" s="5"/>
      <c r="AB84" s="5"/>
      <c r="AC84" s="5"/>
      <c r="AD84" s="5"/>
    </row>
    <row r="85" ht="15.75" customHeight="1">
      <c r="A85" s="6" t="s">
        <v>199</v>
      </c>
      <c r="B85" s="6" t="s">
        <v>221</v>
      </c>
      <c r="C85" s="6" t="s">
        <v>62</v>
      </c>
      <c r="D85" s="6" t="s">
        <v>27</v>
      </c>
      <c r="E85" s="6" t="s">
        <v>222</v>
      </c>
      <c r="F85" s="6" t="s">
        <v>223</v>
      </c>
      <c r="G85" s="7">
        <v>121.8</v>
      </c>
      <c r="H85" s="9">
        <f t="shared" si="1"/>
        <v>98.00210084</v>
      </c>
      <c r="I85" s="9">
        <f t="shared" si="2"/>
        <v>250.5042017</v>
      </c>
      <c r="J85" s="9">
        <f t="shared" si="3"/>
        <v>250.5042017</v>
      </c>
      <c r="K85" s="9">
        <f t="shared" si="4"/>
        <v>298.1</v>
      </c>
      <c r="L85" s="6" t="s">
        <v>236</v>
      </c>
      <c r="M85" s="6" t="s">
        <v>48</v>
      </c>
      <c r="N85" s="8">
        <v>42.0</v>
      </c>
      <c r="O85" s="6" t="s">
        <v>62</v>
      </c>
      <c r="P85" s="6" t="s">
        <v>69</v>
      </c>
      <c r="Q85" s="6" t="s">
        <v>70</v>
      </c>
      <c r="R85" s="6" t="s">
        <v>58</v>
      </c>
      <c r="S85" s="6" t="s">
        <v>225</v>
      </c>
      <c r="T85" s="8" t="s">
        <v>234</v>
      </c>
      <c r="U85" s="6" t="s">
        <v>46</v>
      </c>
      <c r="V85" s="6" t="s">
        <v>48</v>
      </c>
      <c r="W85" s="6" t="s">
        <v>48</v>
      </c>
      <c r="X85" s="6" t="s">
        <v>52</v>
      </c>
      <c r="Y85" s="5"/>
      <c r="Z85" s="5"/>
      <c r="AA85" s="5"/>
      <c r="AB85" s="5"/>
      <c r="AC85" s="5"/>
      <c r="AD85" s="5"/>
    </row>
    <row r="86" ht="15.75" customHeight="1">
      <c r="A86" s="6" t="s">
        <v>199</v>
      </c>
      <c r="B86" s="6" t="s">
        <v>221</v>
      </c>
      <c r="C86" s="6" t="s">
        <v>72</v>
      </c>
      <c r="D86" s="6" t="s">
        <v>63</v>
      </c>
      <c r="E86" s="6" t="s">
        <v>222</v>
      </c>
      <c r="F86" s="6" t="s">
        <v>223</v>
      </c>
      <c r="G86" s="7">
        <v>83.52</v>
      </c>
      <c r="H86" s="9">
        <f t="shared" si="1"/>
        <v>65.83403361</v>
      </c>
      <c r="I86" s="9">
        <f t="shared" si="2"/>
        <v>186.1680672</v>
      </c>
      <c r="J86" s="9">
        <f t="shared" si="3"/>
        <v>186.1680672</v>
      </c>
      <c r="K86" s="9">
        <f t="shared" si="4"/>
        <v>221.54</v>
      </c>
      <c r="L86" s="6" t="s">
        <v>237</v>
      </c>
      <c r="M86" s="6" t="s">
        <v>48</v>
      </c>
      <c r="N86" s="8">
        <v>1897.0</v>
      </c>
      <c r="O86" s="6" t="s">
        <v>74</v>
      </c>
      <c r="P86" s="6" t="s">
        <v>75</v>
      </c>
      <c r="Q86" s="6" t="s">
        <v>76</v>
      </c>
      <c r="R86" s="6" t="s">
        <v>58</v>
      </c>
      <c r="S86" s="6" t="s">
        <v>225</v>
      </c>
      <c r="T86" s="8" t="s">
        <v>235</v>
      </c>
      <c r="U86" s="6" t="s">
        <v>46</v>
      </c>
      <c r="V86" s="6" t="s">
        <v>48</v>
      </c>
      <c r="W86" s="6" t="s">
        <v>48</v>
      </c>
      <c r="X86" s="6" t="s">
        <v>77</v>
      </c>
      <c r="Y86" s="5"/>
      <c r="Z86" s="5"/>
      <c r="AA86" s="5"/>
      <c r="AB86" s="5"/>
      <c r="AC86" s="5"/>
      <c r="AD86" s="5"/>
    </row>
    <row r="87" ht="15.75" customHeight="1">
      <c r="A87" s="6" t="s">
        <v>199</v>
      </c>
      <c r="B87" s="6" t="s">
        <v>221</v>
      </c>
      <c r="C87" s="6" t="s">
        <v>72</v>
      </c>
      <c r="D87" s="6" t="s">
        <v>54</v>
      </c>
      <c r="E87" s="6" t="s">
        <v>222</v>
      </c>
      <c r="F87" s="6" t="s">
        <v>223</v>
      </c>
      <c r="G87" s="7">
        <v>109.03999999999999</v>
      </c>
      <c r="H87" s="9">
        <f t="shared" si="1"/>
        <v>87.27941176</v>
      </c>
      <c r="I87" s="9">
        <f t="shared" si="2"/>
        <v>229.0588235</v>
      </c>
      <c r="J87" s="9">
        <f t="shared" si="3"/>
        <v>229.0588235</v>
      </c>
      <c r="K87" s="9">
        <f t="shared" si="4"/>
        <v>272.58</v>
      </c>
      <c r="L87" s="6" t="s">
        <v>238</v>
      </c>
      <c r="M87" s="6" t="s">
        <v>48</v>
      </c>
      <c r="N87" s="8">
        <v>4601.0</v>
      </c>
      <c r="O87" s="6" t="s">
        <v>74</v>
      </c>
      <c r="P87" s="6" t="s">
        <v>75</v>
      </c>
      <c r="Q87" s="6" t="s">
        <v>76</v>
      </c>
      <c r="R87" s="6" t="s">
        <v>58</v>
      </c>
      <c r="S87" s="6" t="s">
        <v>225</v>
      </c>
      <c r="T87" s="8" t="s">
        <v>232</v>
      </c>
      <c r="U87" s="6" t="s">
        <v>46</v>
      </c>
      <c r="V87" s="6" t="s">
        <v>48</v>
      </c>
      <c r="W87" s="6" t="s">
        <v>48</v>
      </c>
      <c r="X87" s="6" t="s">
        <v>77</v>
      </c>
      <c r="Y87" s="5"/>
      <c r="Z87" s="5"/>
      <c r="AA87" s="5"/>
      <c r="AB87" s="5"/>
      <c r="AC87" s="5"/>
      <c r="AD87" s="5"/>
    </row>
    <row r="88" ht="15.75" customHeight="1">
      <c r="A88" s="6" t="s">
        <v>199</v>
      </c>
      <c r="B88" s="6" t="s">
        <v>221</v>
      </c>
      <c r="C88" s="6" t="s">
        <v>72</v>
      </c>
      <c r="D88" s="6" t="s">
        <v>27</v>
      </c>
      <c r="E88" s="6" t="s">
        <v>222</v>
      </c>
      <c r="F88" s="6" t="s">
        <v>223</v>
      </c>
      <c r="G88" s="7">
        <v>121.8</v>
      </c>
      <c r="H88" s="9">
        <f t="shared" si="1"/>
        <v>98.00210084</v>
      </c>
      <c r="I88" s="9">
        <f t="shared" si="2"/>
        <v>250.5042017</v>
      </c>
      <c r="J88" s="9">
        <f t="shared" si="3"/>
        <v>250.5042017</v>
      </c>
      <c r="K88" s="9">
        <f t="shared" si="4"/>
        <v>298.1</v>
      </c>
      <c r="L88" s="6" t="s">
        <v>239</v>
      </c>
      <c r="M88" s="6" t="s">
        <v>48</v>
      </c>
      <c r="N88" s="8">
        <v>4602.0</v>
      </c>
      <c r="O88" s="6" t="s">
        <v>74</v>
      </c>
      <c r="P88" s="6" t="s">
        <v>75</v>
      </c>
      <c r="Q88" s="6" t="s">
        <v>76</v>
      </c>
      <c r="R88" s="6" t="s">
        <v>58</v>
      </c>
      <c r="S88" s="6" t="s">
        <v>225</v>
      </c>
      <c r="T88" s="8" t="s">
        <v>234</v>
      </c>
      <c r="U88" s="6" t="s">
        <v>46</v>
      </c>
      <c r="V88" s="6" t="s">
        <v>48</v>
      </c>
      <c r="W88" s="6" t="s">
        <v>48</v>
      </c>
      <c r="X88" s="6" t="s">
        <v>77</v>
      </c>
      <c r="Y88" s="5"/>
      <c r="Z88" s="5"/>
      <c r="AA88" s="5"/>
      <c r="AB88" s="5"/>
      <c r="AC88" s="5"/>
      <c r="AD88" s="5"/>
    </row>
    <row r="89" ht="15.75" customHeight="1">
      <c r="A89" s="6" t="s">
        <v>199</v>
      </c>
      <c r="B89" s="6" t="s">
        <v>240</v>
      </c>
      <c r="C89" s="6" t="s">
        <v>26</v>
      </c>
      <c r="D89" s="6" t="s">
        <v>63</v>
      </c>
      <c r="E89" s="6" t="s">
        <v>241</v>
      </c>
      <c r="F89" s="6" t="s">
        <v>242</v>
      </c>
      <c r="G89" s="7">
        <v>102.08</v>
      </c>
      <c r="H89" s="9">
        <f t="shared" si="1"/>
        <v>81.43067227</v>
      </c>
      <c r="I89" s="9">
        <f t="shared" si="2"/>
        <v>217.3613445</v>
      </c>
      <c r="J89" s="9">
        <f t="shared" si="3"/>
        <v>217.3613445</v>
      </c>
      <c r="K89" s="9">
        <f t="shared" si="4"/>
        <v>258.66</v>
      </c>
      <c r="L89" s="6" t="s">
        <v>243</v>
      </c>
      <c r="M89" s="6" t="s">
        <v>37</v>
      </c>
      <c r="N89" s="8">
        <v>134.0</v>
      </c>
      <c r="O89" s="6" t="s">
        <v>40</v>
      </c>
      <c r="P89" s="6" t="s">
        <v>42</v>
      </c>
      <c r="Q89" s="6" t="s">
        <v>44</v>
      </c>
      <c r="R89" s="6" t="s">
        <v>41</v>
      </c>
      <c r="S89" s="6" t="s">
        <v>244</v>
      </c>
      <c r="T89" s="8" t="s">
        <v>245</v>
      </c>
      <c r="U89" s="6" t="s">
        <v>46</v>
      </c>
      <c r="V89" s="6" t="s">
        <v>48</v>
      </c>
      <c r="W89" s="6" t="s">
        <v>48</v>
      </c>
      <c r="X89" s="6" t="s">
        <v>52</v>
      </c>
      <c r="Y89" s="5"/>
      <c r="Z89" s="5"/>
      <c r="AA89" s="5"/>
      <c r="AB89" s="5"/>
      <c r="AC89" s="5"/>
      <c r="AD89" s="5"/>
    </row>
    <row r="90" ht="15.75" customHeight="1">
      <c r="A90" s="6" t="s">
        <v>199</v>
      </c>
      <c r="B90" s="6" t="s">
        <v>240</v>
      </c>
      <c r="C90" s="6" t="s">
        <v>26</v>
      </c>
      <c r="D90" s="6" t="s">
        <v>54</v>
      </c>
      <c r="E90" s="6" t="s">
        <v>241</v>
      </c>
      <c r="F90" s="6" t="s">
        <v>242</v>
      </c>
      <c r="G90" s="7">
        <v>121.8</v>
      </c>
      <c r="H90" s="9">
        <f t="shared" si="1"/>
        <v>98.00210084</v>
      </c>
      <c r="I90" s="9">
        <f t="shared" si="2"/>
        <v>250.5042017</v>
      </c>
      <c r="J90" s="9">
        <f t="shared" si="3"/>
        <v>250.5042017</v>
      </c>
      <c r="K90" s="9">
        <f t="shared" si="4"/>
        <v>298.1</v>
      </c>
      <c r="L90" s="6" t="s">
        <v>246</v>
      </c>
      <c r="M90" s="6" t="s">
        <v>37</v>
      </c>
      <c r="N90" s="8">
        <v>135.0</v>
      </c>
      <c r="O90" s="6" t="s">
        <v>40</v>
      </c>
      <c r="P90" s="6" t="s">
        <v>42</v>
      </c>
      <c r="Q90" s="6" t="s">
        <v>44</v>
      </c>
      <c r="R90" s="6" t="s">
        <v>41</v>
      </c>
      <c r="S90" s="6" t="s">
        <v>244</v>
      </c>
      <c r="T90" s="8" t="s">
        <v>247</v>
      </c>
      <c r="U90" s="6" t="s">
        <v>46</v>
      </c>
      <c r="V90" s="6" t="s">
        <v>48</v>
      </c>
      <c r="W90" s="6" t="s">
        <v>48</v>
      </c>
      <c r="X90" s="6" t="s">
        <v>52</v>
      </c>
      <c r="Y90" s="5"/>
      <c r="Z90" s="5"/>
      <c r="AA90" s="5"/>
      <c r="AB90" s="5"/>
      <c r="AC90" s="5"/>
      <c r="AD90" s="5"/>
    </row>
    <row r="91" ht="15.75" customHeight="1">
      <c r="A91" s="6" t="s">
        <v>199</v>
      </c>
      <c r="B91" s="6" t="s">
        <v>240</v>
      </c>
      <c r="C91" s="6" t="s">
        <v>26</v>
      </c>
      <c r="D91" s="6" t="s">
        <v>27</v>
      </c>
      <c r="E91" s="6" t="s">
        <v>241</v>
      </c>
      <c r="F91" s="6" t="s">
        <v>242</v>
      </c>
      <c r="G91" s="7">
        <v>140.35999999999999</v>
      </c>
      <c r="H91" s="9">
        <f t="shared" si="1"/>
        <v>113.5987395</v>
      </c>
      <c r="I91" s="9">
        <f t="shared" si="2"/>
        <v>281.697479</v>
      </c>
      <c r="J91" s="9">
        <f t="shared" si="3"/>
        <v>281.697479</v>
      </c>
      <c r="K91" s="9">
        <f t="shared" si="4"/>
        <v>335.22</v>
      </c>
      <c r="L91" s="6" t="s">
        <v>248</v>
      </c>
      <c r="M91" s="6" t="s">
        <v>37</v>
      </c>
      <c r="N91" s="8">
        <v>136.0</v>
      </c>
      <c r="O91" s="6" t="s">
        <v>40</v>
      </c>
      <c r="P91" s="6" t="s">
        <v>42</v>
      </c>
      <c r="Q91" s="6" t="s">
        <v>44</v>
      </c>
      <c r="R91" s="6" t="s">
        <v>41</v>
      </c>
      <c r="S91" s="6" t="s">
        <v>244</v>
      </c>
      <c r="T91" s="8" t="s">
        <v>249</v>
      </c>
      <c r="U91" s="6" t="s">
        <v>46</v>
      </c>
      <c r="V91" s="6" t="s">
        <v>48</v>
      </c>
      <c r="W91" s="6" t="s">
        <v>48</v>
      </c>
      <c r="X91" s="6" t="s">
        <v>52</v>
      </c>
      <c r="Y91" s="5"/>
      <c r="Z91" s="5"/>
      <c r="AA91" s="5"/>
      <c r="AB91" s="5"/>
      <c r="AC91" s="5"/>
      <c r="AD91" s="5"/>
    </row>
    <row r="92" ht="15.75" customHeight="1">
      <c r="A92" s="6" t="s">
        <v>199</v>
      </c>
      <c r="B92" s="6" t="s">
        <v>240</v>
      </c>
      <c r="C92" s="6" t="s">
        <v>26</v>
      </c>
      <c r="D92" s="6" t="s">
        <v>129</v>
      </c>
      <c r="E92" s="6" t="s">
        <v>241</v>
      </c>
      <c r="F92" s="6" t="s">
        <v>242</v>
      </c>
      <c r="G92" s="7">
        <v>165.88</v>
      </c>
      <c r="H92" s="9">
        <f t="shared" si="1"/>
        <v>135.0441176</v>
      </c>
      <c r="I92" s="9">
        <f t="shared" si="2"/>
        <v>324.5882353</v>
      </c>
      <c r="J92" s="9">
        <f t="shared" si="3"/>
        <v>324.5882353</v>
      </c>
      <c r="K92" s="9">
        <f t="shared" si="4"/>
        <v>386.26</v>
      </c>
      <c r="L92" s="6" t="s">
        <v>123</v>
      </c>
      <c r="M92" s="6" t="s">
        <v>37</v>
      </c>
      <c r="N92" s="8">
        <v>137.0</v>
      </c>
      <c r="O92" s="6" t="s">
        <v>40</v>
      </c>
      <c r="P92" s="6" t="s">
        <v>42</v>
      </c>
      <c r="Q92" s="6" t="s">
        <v>44</v>
      </c>
      <c r="R92" s="6" t="s">
        <v>41</v>
      </c>
      <c r="S92" s="6" t="s">
        <v>244</v>
      </c>
      <c r="T92" s="8" t="s">
        <v>250</v>
      </c>
      <c r="U92" s="6" t="s">
        <v>46</v>
      </c>
      <c r="V92" s="6" t="s">
        <v>48</v>
      </c>
      <c r="W92" s="6" t="s">
        <v>48</v>
      </c>
      <c r="X92" s="6" t="s">
        <v>52</v>
      </c>
      <c r="Y92" s="5"/>
      <c r="Z92" s="5"/>
      <c r="AA92" s="5"/>
      <c r="AB92" s="5"/>
      <c r="AC92" s="5"/>
      <c r="AD92" s="5"/>
    </row>
    <row r="93" ht="15.75" customHeight="1">
      <c r="A93" s="6" t="s">
        <v>199</v>
      </c>
      <c r="B93" s="6" t="s">
        <v>240</v>
      </c>
      <c r="C93" s="6" t="s">
        <v>53</v>
      </c>
      <c r="D93" s="6" t="s">
        <v>63</v>
      </c>
      <c r="E93" s="6" t="s">
        <v>241</v>
      </c>
      <c r="F93" s="6" t="s">
        <v>242</v>
      </c>
      <c r="G93" s="7">
        <v>153.11999999999998</v>
      </c>
      <c r="H93" s="9">
        <f t="shared" si="1"/>
        <v>124.3214286</v>
      </c>
      <c r="I93" s="9">
        <f t="shared" si="2"/>
        <v>303.1428571</v>
      </c>
      <c r="J93" s="9">
        <f t="shared" si="3"/>
        <v>303.1428571</v>
      </c>
      <c r="K93" s="9">
        <f t="shared" si="4"/>
        <v>360.74</v>
      </c>
      <c r="L93" s="6" t="s">
        <v>251</v>
      </c>
      <c r="M93" s="6" t="s">
        <v>48</v>
      </c>
      <c r="N93" s="8">
        <v>141.0</v>
      </c>
      <c r="O93" s="6" t="s">
        <v>53</v>
      </c>
      <c r="P93" s="6" t="s">
        <v>56</v>
      </c>
      <c r="Q93" s="6" t="s">
        <v>57</v>
      </c>
      <c r="R93" s="6" t="s">
        <v>58</v>
      </c>
      <c r="S93" s="6" t="s">
        <v>244</v>
      </c>
      <c r="T93" s="8" t="s">
        <v>252</v>
      </c>
      <c r="U93" s="6" t="s">
        <v>46</v>
      </c>
      <c r="V93" s="6" t="s">
        <v>48</v>
      </c>
      <c r="W93" s="6" t="s">
        <v>48</v>
      </c>
      <c r="X93" s="6" t="s">
        <v>52</v>
      </c>
      <c r="Y93" s="5"/>
      <c r="Z93" s="5"/>
      <c r="AA93" s="5"/>
      <c r="AB93" s="5"/>
      <c r="AC93" s="5"/>
      <c r="AD93" s="5"/>
    </row>
    <row r="94" ht="15.75" customHeight="1">
      <c r="A94" s="6" t="s">
        <v>199</v>
      </c>
      <c r="B94" s="6" t="s">
        <v>240</v>
      </c>
      <c r="C94" s="6" t="s">
        <v>53</v>
      </c>
      <c r="D94" s="6" t="s">
        <v>54</v>
      </c>
      <c r="E94" s="6" t="s">
        <v>241</v>
      </c>
      <c r="F94" s="6" t="s">
        <v>242</v>
      </c>
      <c r="G94" s="7">
        <v>191.39999999999998</v>
      </c>
      <c r="H94" s="9">
        <f t="shared" si="1"/>
        <v>156.4894958</v>
      </c>
      <c r="I94" s="9">
        <f t="shared" si="2"/>
        <v>367.4789916</v>
      </c>
      <c r="J94" s="9">
        <f t="shared" si="3"/>
        <v>367.4789916</v>
      </c>
      <c r="K94" s="9">
        <f t="shared" si="4"/>
        <v>437.3</v>
      </c>
      <c r="L94" s="6" t="s">
        <v>253</v>
      </c>
      <c r="M94" s="6" t="s">
        <v>48</v>
      </c>
      <c r="N94" s="8">
        <v>142.0</v>
      </c>
      <c r="O94" s="6" t="s">
        <v>53</v>
      </c>
      <c r="P94" s="6" t="s">
        <v>56</v>
      </c>
      <c r="Q94" s="6" t="s">
        <v>57</v>
      </c>
      <c r="R94" s="6" t="s">
        <v>58</v>
      </c>
      <c r="S94" s="6" t="s">
        <v>244</v>
      </c>
      <c r="T94" s="8" t="s">
        <v>254</v>
      </c>
      <c r="U94" s="6" t="s">
        <v>46</v>
      </c>
      <c r="V94" s="6" t="s">
        <v>48</v>
      </c>
      <c r="W94" s="6" t="s">
        <v>48</v>
      </c>
      <c r="X94" s="6" t="s">
        <v>52</v>
      </c>
      <c r="Y94" s="5"/>
      <c r="Z94" s="5"/>
      <c r="AA94" s="5"/>
      <c r="AB94" s="5"/>
      <c r="AC94" s="5"/>
      <c r="AD94" s="5"/>
    </row>
    <row r="95" ht="15.75" customHeight="1">
      <c r="A95" s="6" t="s">
        <v>199</v>
      </c>
      <c r="B95" s="6" t="s">
        <v>240</v>
      </c>
      <c r="C95" s="6" t="s">
        <v>53</v>
      </c>
      <c r="D95" s="6" t="s">
        <v>27</v>
      </c>
      <c r="E95" s="6" t="s">
        <v>241</v>
      </c>
      <c r="F95" s="6" t="s">
        <v>242</v>
      </c>
      <c r="G95" s="7">
        <v>223.88</v>
      </c>
      <c r="H95" s="9">
        <f t="shared" si="1"/>
        <v>183.7836134</v>
      </c>
      <c r="I95" s="9">
        <f t="shared" si="2"/>
        <v>422.0672269</v>
      </c>
      <c r="J95" s="9">
        <f t="shared" si="3"/>
        <v>422.0672269</v>
      </c>
      <c r="K95" s="9">
        <f t="shared" si="4"/>
        <v>502.26</v>
      </c>
      <c r="L95" s="6" t="s">
        <v>255</v>
      </c>
      <c r="M95" s="6" t="s">
        <v>48</v>
      </c>
      <c r="N95" s="8">
        <v>143.0</v>
      </c>
      <c r="O95" s="6" t="s">
        <v>53</v>
      </c>
      <c r="P95" s="6" t="s">
        <v>56</v>
      </c>
      <c r="Q95" s="6" t="s">
        <v>57</v>
      </c>
      <c r="R95" s="6" t="s">
        <v>58</v>
      </c>
      <c r="S95" s="6" t="s">
        <v>244</v>
      </c>
      <c r="T95" s="8" t="s">
        <v>256</v>
      </c>
      <c r="U95" s="6" t="s">
        <v>46</v>
      </c>
      <c r="V95" s="6" t="s">
        <v>48</v>
      </c>
      <c r="W95" s="6" t="s">
        <v>48</v>
      </c>
      <c r="X95" s="6" t="s">
        <v>52</v>
      </c>
      <c r="Y95" s="5"/>
      <c r="Z95" s="5"/>
      <c r="AA95" s="5"/>
      <c r="AB95" s="5"/>
      <c r="AC95" s="5"/>
      <c r="AD95" s="5"/>
    </row>
    <row r="96" ht="15.75" customHeight="1">
      <c r="A96" s="6" t="s">
        <v>199</v>
      </c>
      <c r="B96" s="6" t="s">
        <v>240</v>
      </c>
      <c r="C96" s="6" t="s">
        <v>53</v>
      </c>
      <c r="D96" s="6" t="s">
        <v>129</v>
      </c>
      <c r="E96" s="6" t="s">
        <v>241</v>
      </c>
      <c r="F96" s="6" t="s">
        <v>242</v>
      </c>
      <c r="G96" s="7">
        <v>319.0</v>
      </c>
      <c r="H96" s="9">
        <f t="shared" si="1"/>
        <v>263.7163866</v>
      </c>
      <c r="I96" s="9">
        <f t="shared" si="2"/>
        <v>581.9327731</v>
      </c>
      <c r="J96" s="9">
        <f t="shared" si="3"/>
        <v>581.9327731</v>
      </c>
      <c r="K96" s="9">
        <f t="shared" si="4"/>
        <v>692.5</v>
      </c>
      <c r="L96" s="6" t="s">
        <v>257</v>
      </c>
      <c r="M96" s="6" t="s">
        <v>48</v>
      </c>
      <c r="N96" s="8">
        <v>144.0</v>
      </c>
      <c r="O96" s="6" t="s">
        <v>53</v>
      </c>
      <c r="P96" s="6" t="s">
        <v>56</v>
      </c>
      <c r="Q96" s="6" t="s">
        <v>57</v>
      </c>
      <c r="R96" s="6" t="s">
        <v>58</v>
      </c>
      <c r="S96" s="6" t="s">
        <v>244</v>
      </c>
      <c r="T96" s="8" t="s">
        <v>258</v>
      </c>
      <c r="U96" s="6" t="s">
        <v>46</v>
      </c>
      <c r="V96" s="6" t="s">
        <v>48</v>
      </c>
      <c r="W96" s="6" t="s">
        <v>48</v>
      </c>
      <c r="X96" s="6" t="s">
        <v>52</v>
      </c>
      <c r="Y96" s="5"/>
      <c r="Z96" s="5"/>
      <c r="AA96" s="5"/>
      <c r="AB96" s="5"/>
      <c r="AC96" s="5"/>
      <c r="AD96" s="5"/>
    </row>
    <row r="97" ht="15.75" customHeight="1">
      <c r="A97" s="6" t="s">
        <v>199</v>
      </c>
      <c r="B97" s="6" t="s">
        <v>240</v>
      </c>
      <c r="C97" s="6" t="s">
        <v>62</v>
      </c>
      <c r="D97" s="6" t="s">
        <v>63</v>
      </c>
      <c r="E97" s="6" t="s">
        <v>241</v>
      </c>
      <c r="F97" s="6" t="s">
        <v>242</v>
      </c>
      <c r="G97" s="7">
        <v>83.52</v>
      </c>
      <c r="H97" s="9">
        <f t="shared" si="1"/>
        <v>65.83403361</v>
      </c>
      <c r="I97" s="9">
        <f t="shared" si="2"/>
        <v>186.1680672</v>
      </c>
      <c r="J97" s="9">
        <f t="shared" si="3"/>
        <v>186.1680672</v>
      </c>
      <c r="K97" s="9">
        <f t="shared" si="4"/>
        <v>221.54</v>
      </c>
      <c r="L97" s="6" t="s">
        <v>259</v>
      </c>
      <c r="M97" s="6" t="s">
        <v>48</v>
      </c>
      <c r="N97" s="8">
        <v>125.0</v>
      </c>
      <c r="O97" s="6" t="s">
        <v>62</v>
      </c>
      <c r="P97" s="6" t="s">
        <v>65</v>
      </c>
      <c r="Q97" s="6" t="s">
        <v>66</v>
      </c>
      <c r="R97" s="6" t="s">
        <v>58</v>
      </c>
      <c r="S97" s="6" t="s">
        <v>244</v>
      </c>
      <c r="T97" s="8" t="s">
        <v>252</v>
      </c>
      <c r="U97" s="6" t="s">
        <v>46</v>
      </c>
      <c r="V97" s="6" t="s">
        <v>48</v>
      </c>
      <c r="W97" s="6" t="s">
        <v>48</v>
      </c>
      <c r="X97" s="6" t="s">
        <v>52</v>
      </c>
      <c r="Y97" s="5"/>
      <c r="Z97" s="5"/>
      <c r="AA97" s="5"/>
      <c r="AB97" s="5"/>
      <c r="AC97" s="5"/>
      <c r="AD97" s="5"/>
    </row>
    <row r="98" ht="15.75" customHeight="1">
      <c r="A98" s="6" t="s">
        <v>199</v>
      </c>
      <c r="B98" s="6" t="s">
        <v>240</v>
      </c>
      <c r="C98" s="6" t="s">
        <v>62</v>
      </c>
      <c r="D98" s="6" t="s">
        <v>54</v>
      </c>
      <c r="E98" s="6" t="s">
        <v>241</v>
      </c>
      <c r="F98" s="6" t="s">
        <v>242</v>
      </c>
      <c r="G98" s="7">
        <v>109.03999999999999</v>
      </c>
      <c r="H98" s="9">
        <f t="shared" si="1"/>
        <v>87.27941176</v>
      </c>
      <c r="I98" s="9">
        <f t="shared" si="2"/>
        <v>229.0588235</v>
      </c>
      <c r="J98" s="9">
        <f t="shared" si="3"/>
        <v>229.0588235</v>
      </c>
      <c r="K98" s="9">
        <f t="shared" si="4"/>
        <v>272.58</v>
      </c>
      <c r="L98" s="6" t="s">
        <v>102</v>
      </c>
      <c r="M98" s="6" t="s">
        <v>48</v>
      </c>
      <c r="N98" s="8">
        <v>126.0</v>
      </c>
      <c r="O98" s="6" t="s">
        <v>62</v>
      </c>
      <c r="P98" s="6" t="s">
        <v>69</v>
      </c>
      <c r="Q98" s="6" t="s">
        <v>70</v>
      </c>
      <c r="R98" s="6" t="s">
        <v>58</v>
      </c>
      <c r="S98" s="6" t="s">
        <v>244</v>
      </c>
      <c r="T98" s="8" t="s">
        <v>254</v>
      </c>
      <c r="U98" s="6" t="s">
        <v>46</v>
      </c>
      <c r="V98" s="6" t="s">
        <v>48</v>
      </c>
      <c r="W98" s="6" t="s">
        <v>48</v>
      </c>
      <c r="X98" s="6" t="s">
        <v>52</v>
      </c>
      <c r="Y98" s="5"/>
      <c r="Z98" s="5"/>
      <c r="AA98" s="5"/>
      <c r="AB98" s="5"/>
      <c r="AC98" s="5"/>
      <c r="AD98" s="5"/>
    </row>
    <row r="99" ht="15.75" customHeight="1">
      <c r="A99" s="6" t="s">
        <v>199</v>
      </c>
      <c r="B99" s="6" t="s">
        <v>240</v>
      </c>
      <c r="C99" s="6" t="s">
        <v>62</v>
      </c>
      <c r="D99" s="6" t="s">
        <v>27</v>
      </c>
      <c r="E99" s="6" t="s">
        <v>241</v>
      </c>
      <c r="F99" s="6" t="s">
        <v>242</v>
      </c>
      <c r="G99" s="7">
        <v>121.8</v>
      </c>
      <c r="H99" s="9">
        <f t="shared" si="1"/>
        <v>98.00210084</v>
      </c>
      <c r="I99" s="9">
        <f t="shared" si="2"/>
        <v>250.5042017</v>
      </c>
      <c r="J99" s="9">
        <f t="shared" si="3"/>
        <v>250.5042017</v>
      </c>
      <c r="K99" s="9">
        <f t="shared" si="4"/>
        <v>298.1</v>
      </c>
      <c r="L99" s="6" t="s">
        <v>260</v>
      </c>
      <c r="M99" s="6" t="s">
        <v>48</v>
      </c>
      <c r="N99" s="8">
        <v>127.0</v>
      </c>
      <c r="O99" s="6" t="s">
        <v>62</v>
      </c>
      <c r="P99" s="6" t="s">
        <v>69</v>
      </c>
      <c r="Q99" s="6" t="s">
        <v>70</v>
      </c>
      <c r="R99" s="6" t="s">
        <v>58</v>
      </c>
      <c r="S99" s="6" t="s">
        <v>244</v>
      </c>
      <c r="T99" s="8" t="s">
        <v>256</v>
      </c>
      <c r="U99" s="6" t="s">
        <v>46</v>
      </c>
      <c r="V99" s="6" t="s">
        <v>48</v>
      </c>
      <c r="W99" s="6" t="s">
        <v>48</v>
      </c>
      <c r="X99" s="6" t="s">
        <v>52</v>
      </c>
      <c r="Y99" s="5"/>
      <c r="Z99" s="5"/>
      <c r="AA99" s="5"/>
      <c r="AB99" s="5"/>
      <c r="AC99" s="5"/>
      <c r="AD99" s="5"/>
    </row>
    <row r="100" ht="15.75" customHeight="1">
      <c r="A100" s="6" t="s">
        <v>199</v>
      </c>
      <c r="B100" s="6" t="s">
        <v>240</v>
      </c>
      <c r="C100" s="6" t="s">
        <v>62</v>
      </c>
      <c r="D100" s="6" t="s">
        <v>129</v>
      </c>
      <c r="E100" s="6" t="s">
        <v>241</v>
      </c>
      <c r="F100" s="6" t="s">
        <v>242</v>
      </c>
      <c r="G100" s="7">
        <v>140.35999999999999</v>
      </c>
      <c r="H100" s="9">
        <f t="shared" si="1"/>
        <v>113.5987395</v>
      </c>
      <c r="I100" s="9">
        <f t="shared" si="2"/>
        <v>281.697479</v>
      </c>
      <c r="J100" s="9">
        <f t="shared" si="3"/>
        <v>281.697479</v>
      </c>
      <c r="K100" s="9">
        <f t="shared" si="4"/>
        <v>335.22</v>
      </c>
      <c r="L100" s="6" t="s">
        <v>64</v>
      </c>
      <c r="M100" s="6" t="s">
        <v>48</v>
      </c>
      <c r="N100" s="8">
        <v>128.0</v>
      </c>
      <c r="O100" s="6" t="s">
        <v>62</v>
      </c>
      <c r="P100" s="6" t="s">
        <v>69</v>
      </c>
      <c r="Q100" s="6" t="s">
        <v>70</v>
      </c>
      <c r="R100" s="6" t="s">
        <v>58</v>
      </c>
      <c r="S100" s="6" t="s">
        <v>244</v>
      </c>
      <c r="T100" s="8" t="s">
        <v>261</v>
      </c>
      <c r="U100" s="6" t="s">
        <v>46</v>
      </c>
      <c r="V100" s="6" t="s">
        <v>48</v>
      </c>
      <c r="W100" s="6" t="s">
        <v>48</v>
      </c>
      <c r="X100" s="6" t="s">
        <v>52</v>
      </c>
      <c r="Y100" s="5"/>
      <c r="Z100" s="5"/>
      <c r="AA100" s="5"/>
      <c r="AB100" s="5"/>
      <c r="AC100" s="5"/>
      <c r="AD100" s="5"/>
    </row>
    <row r="101" ht="15.75" customHeight="1">
      <c r="A101" s="6" t="s">
        <v>199</v>
      </c>
      <c r="B101" s="6" t="s">
        <v>240</v>
      </c>
      <c r="C101" s="6" t="s">
        <v>72</v>
      </c>
      <c r="D101" s="6" t="s">
        <v>63</v>
      </c>
      <c r="E101" s="6" t="s">
        <v>241</v>
      </c>
      <c r="F101" s="6" t="s">
        <v>242</v>
      </c>
      <c r="G101" s="7">
        <v>83.52</v>
      </c>
      <c r="H101" s="9">
        <f t="shared" si="1"/>
        <v>65.83403361</v>
      </c>
      <c r="I101" s="9">
        <f t="shared" si="2"/>
        <v>186.1680672</v>
      </c>
      <c r="J101" s="9">
        <f t="shared" si="3"/>
        <v>186.1680672</v>
      </c>
      <c r="K101" s="9">
        <f t="shared" si="4"/>
        <v>221.54</v>
      </c>
      <c r="L101" s="6" t="s">
        <v>262</v>
      </c>
      <c r="M101" s="6" t="s">
        <v>48</v>
      </c>
      <c r="N101" s="8">
        <v>1912.0</v>
      </c>
      <c r="O101" s="6" t="s">
        <v>74</v>
      </c>
      <c r="P101" s="6" t="s">
        <v>75</v>
      </c>
      <c r="Q101" s="6" t="s">
        <v>76</v>
      </c>
      <c r="R101" s="6" t="s">
        <v>58</v>
      </c>
      <c r="S101" s="6" t="s">
        <v>244</v>
      </c>
      <c r="T101" s="8" t="s">
        <v>252</v>
      </c>
      <c r="U101" s="6" t="s">
        <v>46</v>
      </c>
      <c r="V101" s="6" t="s">
        <v>48</v>
      </c>
      <c r="W101" s="6" t="s">
        <v>48</v>
      </c>
      <c r="X101" s="6" t="s">
        <v>77</v>
      </c>
      <c r="Y101" s="5"/>
      <c r="Z101" s="5"/>
      <c r="AA101" s="5"/>
      <c r="AB101" s="5"/>
      <c r="AC101" s="5"/>
      <c r="AD101" s="5"/>
    </row>
    <row r="102" ht="15.75" customHeight="1">
      <c r="A102" s="6" t="s">
        <v>199</v>
      </c>
      <c r="B102" s="6" t="s">
        <v>240</v>
      </c>
      <c r="C102" s="6" t="s">
        <v>72</v>
      </c>
      <c r="D102" s="6" t="s">
        <v>54</v>
      </c>
      <c r="E102" s="6" t="s">
        <v>241</v>
      </c>
      <c r="F102" s="6" t="s">
        <v>242</v>
      </c>
      <c r="G102" s="7">
        <v>110.19999999999999</v>
      </c>
      <c r="H102" s="9">
        <f t="shared" si="1"/>
        <v>88.25420168</v>
      </c>
      <c r="I102" s="9">
        <f t="shared" si="2"/>
        <v>231.0084034</v>
      </c>
      <c r="J102" s="9">
        <f t="shared" si="3"/>
        <v>231.0084034</v>
      </c>
      <c r="K102" s="9">
        <f t="shared" si="4"/>
        <v>274.9</v>
      </c>
      <c r="L102" s="6" t="s">
        <v>263</v>
      </c>
      <c r="M102" s="6" t="s">
        <v>48</v>
      </c>
      <c r="N102" s="8">
        <v>15736.0</v>
      </c>
      <c r="O102" s="6" t="s">
        <v>74</v>
      </c>
      <c r="P102" s="6" t="s">
        <v>75</v>
      </c>
      <c r="Q102" s="6" t="s">
        <v>76</v>
      </c>
      <c r="R102" s="6" t="s">
        <v>58</v>
      </c>
      <c r="S102" s="6" t="s">
        <v>244</v>
      </c>
      <c r="T102" s="8" t="s">
        <v>254</v>
      </c>
      <c r="U102" s="6" t="s">
        <v>46</v>
      </c>
      <c r="V102" s="6" t="s">
        <v>48</v>
      </c>
      <c r="W102" s="6" t="s">
        <v>48</v>
      </c>
      <c r="X102" s="6" t="s">
        <v>77</v>
      </c>
      <c r="Y102" s="5"/>
      <c r="Z102" s="5"/>
      <c r="AA102" s="5"/>
      <c r="AB102" s="5"/>
      <c r="AC102" s="5"/>
      <c r="AD102" s="5"/>
    </row>
    <row r="103" ht="15.75" customHeight="1">
      <c r="A103" s="6" t="s">
        <v>199</v>
      </c>
      <c r="B103" s="6" t="s">
        <v>240</v>
      </c>
      <c r="C103" s="6" t="s">
        <v>72</v>
      </c>
      <c r="D103" s="6" t="s">
        <v>27</v>
      </c>
      <c r="E103" s="6" t="s">
        <v>241</v>
      </c>
      <c r="F103" s="6" t="s">
        <v>242</v>
      </c>
      <c r="G103" s="7">
        <v>121.8</v>
      </c>
      <c r="H103" s="9">
        <f t="shared" si="1"/>
        <v>98.00210084</v>
      </c>
      <c r="I103" s="9">
        <f t="shared" si="2"/>
        <v>250.5042017</v>
      </c>
      <c r="J103" s="9">
        <f t="shared" si="3"/>
        <v>250.5042017</v>
      </c>
      <c r="K103" s="9">
        <f t="shared" si="4"/>
        <v>298.1</v>
      </c>
      <c r="L103" s="6" t="s">
        <v>264</v>
      </c>
      <c r="M103" s="6" t="s">
        <v>48</v>
      </c>
      <c r="N103" s="8">
        <v>15733.0</v>
      </c>
      <c r="O103" s="6" t="s">
        <v>74</v>
      </c>
      <c r="P103" s="6" t="s">
        <v>75</v>
      </c>
      <c r="Q103" s="6" t="s">
        <v>76</v>
      </c>
      <c r="R103" s="6" t="s">
        <v>58</v>
      </c>
      <c r="S103" s="6" t="s">
        <v>244</v>
      </c>
      <c r="T103" s="8" t="s">
        <v>256</v>
      </c>
      <c r="U103" s="6" t="s">
        <v>46</v>
      </c>
      <c r="V103" s="6" t="s">
        <v>48</v>
      </c>
      <c r="W103" s="6" t="s">
        <v>48</v>
      </c>
      <c r="X103" s="6" t="s">
        <v>77</v>
      </c>
      <c r="Y103" s="5"/>
      <c r="Z103" s="5"/>
      <c r="AA103" s="5"/>
      <c r="AB103" s="5"/>
      <c r="AC103" s="5"/>
      <c r="AD103" s="5"/>
    </row>
    <row r="104" ht="15.75" customHeight="1">
      <c r="A104" s="6" t="s">
        <v>199</v>
      </c>
      <c r="B104" s="6" t="s">
        <v>240</v>
      </c>
      <c r="C104" s="6" t="s">
        <v>72</v>
      </c>
      <c r="D104" s="6" t="s">
        <v>129</v>
      </c>
      <c r="E104" s="6" t="s">
        <v>241</v>
      </c>
      <c r="F104" s="6" t="s">
        <v>242</v>
      </c>
      <c r="G104" s="7">
        <v>160.07999999999998</v>
      </c>
      <c r="H104" s="9">
        <f t="shared" si="1"/>
        <v>130.1701681</v>
      </c>
      <c r="I104" s="9">
        <f t="shared" si="2"/>
        <v>314.8403361</v>
      </c>
      <c r="J104" s="9">
        <f t="shared" si="3"/>
        <v>314.8403361</v>
      </c>
      <c r="K104" s="9">
        <f t="shared" si="4"/>
        <v>374.66</v>
      </c>
      <c r="L104" s="6" t="s">
        <v>265</v>
      </c>
      <c r="M104" s="6" t="s">
        <v>48</v>
      </c>
      <c r="N104" s="8">
        <v>616.0</v>
      </c>
      <c r="O104" s="6" t="s">
        <v>74</v>
      </c>
      <c r="P104" s="6" t="s">
        <v>75</v>
      </c>
      <c r="Q104" s="6" t="s">
        <v>76</v>
      </c>
      <c r="R104" s="6" t="s">
        <v>58</v>
      </c>
      <c r="S104" s="6" t="s">
        <v>244</v>
      </c>
      <c r="T104" s="8" t="s">
        <v>258</v>
      </c>
      <c r="U104" s="6" t="s">
        <v>46</v>
      </c>
      <c r="V104" s="6" t="s">
        <v>48</v>
      </c>
      <c r="W104" s="6" t="s">
        <v>48</v>
      </c>
      <c r="X104" s="6" t="s">
        <v>77</v>
      </c>
      <c r="Y104" s="5"/>
      <c r="Z104" s="5"/>
      <c r="AA104" s="5"/>
      <c r="AB104" s="5"/>
      <c r="AC104" s="5"/>
      <c r="AD104" s="5"/>
    </row>
    <row r="105" ht="15.75" customHeight="1">
      <c r="A105" s="6" t="s">
        <v>199</v>
      </c>
      <c r="B105" s="6" t="s">
        <v>266</v>
      </c>
      <c r="C105" s="6" t="s">
        <v>26</v>
      </c>
      <c r="D105" s="6" t="s">
        <v>54</v>
      </c>
      <c r="E105" s="6" t="s">
        <v>267</v>
      </c>
      <c r="F105" s="6" t="s">
        <v>268</v>
      </c>
      <c r="G105" s="7">
        <v>140.35999999999999</v>
      </c>
      <c r="H105" s="9">
        <f t="shared" si="1"/>
        <v>113.5987395</v>
      </c>
      <c r="I105" s="9">
        <f t="shared" si="2"/>
        <v>281.697479</v>
      </c>
      <c r="J105" s="9">
        <f t="shared" si="3"/>
        <v>281.697479</v>
      </c>
      <c r="K105" s="9">
        <f t="shared" si="4"/>
        <v>335.22</v>
      </c>
      <c r="L105" s="6" t="s">
        <v>269</v>
      </c>
      <c r="M105" s="6" t="s">
        <v>37</v>
      </c>
      <c r="N105" s="8">
        <v>215.0</v>
      </c>
      <c r="O105" s="6" t="s">
        <v>40</v>
      </c>
      <c r="P105" s="6" t="s">
        <v>42</v>
      </c>
      <c r="Q105" s="6" t="s">
        <v>44</v>
      </c>
      <c r="R105" s="6" t="s">
        <v>41</v>
      </c>
      <c r="S105" s="6" t="s">
        <v>270</v>
      </c>
      <c r="T105" s="8" t="s">
        <v>271</v>
      </c>
      <c r="U105" s="6" t="s">
        <v>46</v>
      </c>
      <c r="V105" s="6" t="s">
        <v>48</v>
      </c>
      <c r="W105" s="6" t="s">
        <v>48</v>
      </c>
      <c r="X105" s="6" t="s">
        <v>52</v>
      </c>
      <c r="Y105" s="5"/>
      <c r="Z105" s="5"/>
      <c r="AA105" s="5"/>
      <c r="AB105" s="5"/>
      <c r="AC105" s="5"/>
      <c r="AD105" s="5"/>
    </row>
    <row r="106" ht="15.75" customHeight="1">
      <c r="A106" s="6" t="s">
        <v>199</v>
      </c>
      <c r="B106" s="6" t="s">
        <v>266</v>
      </c>
      <c r="C106" s="6" t="s">
        <v>26</v>
      </c>
      <c r="D106" s="6" t="s">
        <v>27</v>
      </c>
      <c r="E106" s="6" t="s">
        <v>267</v>
      </c>
      <c r="F106" s="6" t="s">
        <v>268</v>
      </c>
      <c r="G106" s="7">
        <v>140.35999999999999</v>
      </c>
      <c r="H106" s="9">
        <f t="shared" si="1"/>
        <v>113.5987395</v>
      </c>
      <c r="I106" s="9">
        <f t="shared" si="2"/>
        <v>281.697479</v>
      </c>
      <c r="J106" s="9">
        <f t="shared" si="3"/>
        <v>281.697479</v>
      </c>
      <c r="K106" s="9">
        <f t="shared" si="4"/>
        <v>335.22</v>
      </c>
      <c r="L106" s="6" t="s">
        <v>272</v>
      </c>
      <c r="M106" s="6" t="s">
        <v>37</v>
      </c>
      <c r="N106" s="8">
        <v>216.0</v>
      </c>
      <c r="O106" s="6" t="s">
        <v>40</v>
      </c>
      <c r="P106" s="6" t="s">
        <v>42</v>
      </c>
      <c r="Q106" s="6" t="s">
        <v>44</v>
      </c>
      <c r="R106" s="6" t="s">
        <v>41</v>
      </c>
      <c r="S106" s="6" t="s">
        <v>270</v>
      </c>
      <c r="T106" s="8" t="s">
        <v>273</v>
      </c>
      <c r="U106" s="6" t="s">
        <v>46</v>
      </c>
      <c r="V106" s="6" t="s">
        <v>48</v>
      </c>
      <c r="W106" s="6" t="s">
        <v>48</v>
      </c>
      <c r="X106" s="6" t="s">
        <v>52</v>
      </c>
      <c r="Y106" s="5"/>
      <c r="Z106" s="5"/>
      <c r="AA106" s="5"/>
      <c r="AB106" s="5"/>
      <c r="AC106" s="5"/>
      <c r="AD106" s="5"/>
    </row>
    <row r="107" ht="15.75" customHeight="1">
      <c r="A107" s="6" t="s">
        <v>199</v>
      </c>
      <c r="B107" s="6" t="s">
        <v>266</v>
      </c>
      <c r="C107" s="6" t="s">
        <v>26</v>
      </c>
      <c r="D107" s="6" t="s">
        <v>129</v>
      </c>
      <c r="E107" s="6" t="s">
        <v>267</v>
      </c>
      <c r="F107" s="6" t="s">
        <v>268</v>
      </c>
      <c r="G107" s="7">
        <v>165.88</v>
      </c>
      <c r="H107" s="9">
        <f t="shared" si="1"/>
        <v>135.0441176</v>
      </c>
      <c r="I107" s="9">
        <f t="shared" si="2"/>
        <v>324.5882353</v>
      </c>
      <c r="J107" s="9">
        <f t="shared" si="3"/>
        <v>324.5882353</v>
      </c>
      <c r="K107" s="9">
        <f t="shared" si="4"/>
        <v>386.26</v>
      </c>
      <c r="L107" s="6" t="s">
        <v>68</v>
      </c>
      <c r="M107" s="6" t="s">
        <v>37</v>
      </c>
      <c r="N107" s="8">
        <v>2690.0</v>
      </c>
      <c r="O107" s="6" t="s">
        <v>40</v>
      </c>
      <c r="P107" s="6" t="s">
        <v>42</v>
      </c>
      <c r="Q107" s="6" t="s">
        <v>44</v>
      </c>
      <c r="R107" s="6" t="s">
        <v>41</v>
      </c>
      <c r="S107" s="6" t="s">
        <v>270</v>
      </c>
      <c r="T107" s="8" t="s">
        <v>274</v>
      </c>
      <c r="U107" s="6" t="s">
        <v>46</v>
      </c>
      <c r="V107" s="6" t="s">
        <v>48</v>
      </c>
      <c r="W107" s="6" t="s">
        <v>48</v>
      </c>
      <c r="X107" s="6" t="s">
        <v>52</v>
      </c>
      <c r="Y107" s="5"/>
      <c r="Z107" s="5"/>
      <c r="AA107" s="5"/>
      <c r="AB107" s="5"/>
      <c r="AC107" s="5"/>
      <c r="AD107" s="5"/>
    </row>
    <row r="108" ht="15.75" customHeight="1">
      <c r="A108" s="6" t="s">
        <v>199</v>
      </c>
      <c r="B108" s="6" t="s">
        <v>266</v>
      </c>
      <c r="C108" s="6" t="s">
        <v>53</v>
      </c>
      <c r="D108" s="6" t="s">
        <v>54</v>
      </c>
      <c r="E108" s="6" t="s">
        <v>267</v>
      </c>
      <c r="F108" s="6" t="s">
        <v>268</v>
      </c>
      <c r="G108" s="7">
        <v>191.39999999999998</v>
      </c>
      <c r="H108" s="9">
        <f t="shared" si="1"/>
        <v>156.4894958</v>
      </c>
      <c r="I108" s="9">
        <f t="shared" si="2"/>
        <v>367.4789916</v>
      </c>
      <c r="J108" s="9">
        <f t="shared" si="3"/>
        <v>367.4789916</v>
      </c>
      <c r="K108" s="9">
        <f t="shared" si="4"/>
        <v>437.3</v>
      </c>
      <c r="L108" s="6" t="s">
        <v>140</v>
      </c>
      <c r="M108" s="6" t="s">
        <v>48</v>
      </c>
      <c r="N108" s="8">
        <v>220.0</v>
      </c>
      <c r="O108" s="6" t="s">
        <v>53</v>
      </c>
      <c r="P108" s="6" t="s">
        <v>56</v>
      </c>
      <c r="Q108" s="6" t="s">
        <v>57</v>
      </c>
      <c r="R108" s="6" t="s">
        <v>58</v>
      </c>
      <c r="S108" s="6" t="s">
        <v>270</v>
      </c>
      <c r="T108" s="8" t="s">
        <v>275</v>
      </c>
      <c r="U108" s="6" t="s">
        <v>46</v>
      </c>
      <c r="V108" s="6" t="s">
        <v>48</v>
      </c>
      <c r="W108" s="6" t="s">
        <v>48</v>
      </c>
      <c r="X108" s="6" t="s">
        <v>52</v>
      </c>
      <c r="Y108" s="5"/>
      <c r="Z108" s="5"/>
      <c r="AA108" s="5"/>
      <c r="AB108" s="5"/>
      <c r="AC108" s="5"/>
      <c r="AD108" s="5"/>
    </row>
    <row r="109" ht="15.75" customHeight="1">
      <c r="A109" s="6" t="s">
        <v>199</v>
      </c>
      <c r="B109" s="6" t="s">
        <v>266</v>
      </c>
      <c r="C109" s="6" t="s">
        <v>53</v>
      </c>
      <c r="D109" s="6" t="s">
        <v>27</v>
      </c>
      <c r="E109" s="6" t="s">
        <v>267</v>
      </c>
      <c r="F109" s="6" t="s">
        <v>268</v>
      </c>
      <c r="G109" s="7">
        <v>223.88</v>
      </c>
      <c r="H109" s="9">
        <f t="shared" si="1"/>
        <v>183.7836134</v>
      </c>
      <c r="I109" s="9">
        <f t="shared" si="2"/>
        <v>422.0672269</v>
      </c>
      <c r="J109" s="9">
        <f t="shared" si="3"/>
        <v>422.0672269</v>
      </c>
      <c r="K109" s="9">
        <f t="shared" si="4"/>
        <v>502.26</v>
      </c>
      <c r="L109" s="6" t="s">
        <v>276</v>
      </c>
      <c r="M109" s="6" t="s">
        <v>48</v>
      </c>
      <c r="N109" s="8">
        <v>221.0</v>
      </c>
      <c r="O109" s="6" t="s">
        <v>53</v>
      </c>
      <c r="P109" s="6" t="s">
        <v>56</v>
      </c>
      <c r="Q109" s="6" t="s">
        <v>57</v>
      </c>
      <c r="R109" s="6" t="s">
        <v>58</v>
      </c>
      <c r="S109" s="6" t="s">
        <v>270</v>
      </c>
      <c r="T109" s="8" t="s">
        <v>277</v>
      </c>
      <c r="U109" s="6" t="s">
        <v>46</v>
      </c>
      <c r="V109" s="6" t="s">
        <v>48</v>
      </c>
      <c r="W109" s="6" t="s">
        <v>48</v>
      </c>
      <c r="X109" s="6" t="s">
        <v>52</v>
      </c>
      <c r="Y109" s="5"/>
      <c r="Z109" s="5"/>
      <c r="AA109" s="5"/>
      <c r="AB109" s="5"/>
      <c r="AC109" s="5"/>
      <c r="AD109" s="5"/>
    </row>
    <row r="110" ht="15.75" customHeight="1">
      <c r="A110" s="6" t="s">
        <v>199</v>
      </c>
      <c r="B110" s="6" t="s">
        <v>266</v>
      </c>
      <c r="C110" s="6" t="s">
        <v>53</v>
      </c>
      <c r="D110" s="6" t="s">
        <v>129</v>
      </c>
      <c r="E110" s="6" t="s">
        <v>267</v>
      </c>
      <c r="F110" s="6" t="s">
        <v>268</v>
      </c>
      <c r="G110" s="7">
        <v>319.0</v>
      </c>
      <c r="H110" s="9">
        <f t="shared" si="1"/>
        <v>263.7163866</v>
      </c>
      <c r="I110" s="9">
        <f t="shared" si="2"/>
        <v>581.9327731</v>
      </c>
      <c r="J110" s="9">
        <f t="shared" si="3"/>
        <v>581.9327731</v>
      </c>
      <c r="K110" s="9">
        <f t="shared" si="4"/>
        <v>692.5</v>
      </c>
      <c r="L110" s="6" t="s">
        <v>265</v>
      </c>
      <c r="M110" s="6" t="s">
        <v>48</v>
      </c>
      <c r="N110" s="8">
        <v>222.0</v>
      </c>
      <c r="O110" s="6" t="s">
        <v>53</v>
      </c>
      <c r="P110" s="6" t="s">
        <v>56</v>
      </c>
      <c r="Q110" s="6" t="s">
        <v>57</v>
      </c>
      <c r="R110" s="6" t="s">
        <v>58</v>
      </c>
      <c r="S110" s="6" t="s">
        <v>270</v>
      </c>
      <c r="T110" s="8" t="s">
        <v>278</v>
      </c>
      <c r="U110" s="6" t="s">
        <v>46</v>
      </c>
      <c r="V110" s="6" t="s">
        <v>48</v>
      </c>
      <c r="W110" s="6" t="s">
        <v>48</v>
      </c>
      <c r="X110" s="6" t="s">
        <v>52</v>
      </c>
      <c r="Y110" s="5"/>
      <c r="Z110" s="5"/>
      <c r="AA110" s="5"/>
      <c r="AB110" s="5"/>
      <c r="AC110" s="5"/>
      <c r="AD110" s="5"/>
    </row>
    <row r="111" ht="15.75" customHeight="1">
      <c r="A111" s="6" t="s">
        <v>199</v>
      </c>
      <c r="B111" s="6" t="s">
        <v>266</v>
      </c>
      <c r="C111" s="6" t="s">
        <v>62</v>
      </c>
      <c r="D111" s="6" t="s">
        <v>54</v>
      </c>
      <c r="E111" s="6" t="s">
        <v>267</v>
      </c>
      <c r="F111" s="6" t="s">
        <v>268</v>
      </c>
      <c r="G111" s="7">
        <v>109.03999999999999</v>
      </c>
      <c r="H111" s="9">
        <f t="shared" si="1"/>
        <v>87.27941176</v>
      </c>
      <c r="I111" s="9">
        <f t="shared" si="2"/>
        <v>229.0588235</v>
      </c>
      <c r="J111" s="9">
        <f t="shared" si="3"/>
        <v>229.0588235</v>
      </c>
      <c r="K111" s="9">
        <f t="shared" si="4"/>
        <v>272.58</v>
      </c>
      <c r="L111" s="6" t="s">
        <v>279</v>
      </c>
      <c r="M111" s="6" t="s">
        <v>48</v>
      </c>
      <c r="N111" s="8">
        <v>207.0</v>
      </c>
      <c r="O111" s="6" t="s">
        <v>62</v>
      </c>
      <c r="P111" s="6" t="s">
        <v>69</v>
      </c>
      <c r="Q111" s="6" t="s">
        <v>70</v>
      </c>
      <c r="R111" s="6" t="s">
        <v>58</v>
      </c>
      <c r="S111" s="6" t="s">
        <v>270</v>
      </c>
      <c r="T111" s="8" t="s">
        <v>275</v>
      </c>
      <c r="U111" s="6" t="s">
        <v>46</v>
      </c>
      <c r="V111" s="6" t="s">
        <v>48</v>
      </c>
      <c r="W111" s="6" t="s">
        <v>48</v>
      </c>
      <c r="X111" s="6" t="s">
        <v>52</v>
      </c>
      <c r="Y111" s="5"/>
      <c r="Z111" s="5"/>
      <c r="AA111" s="5"/>
      <c r="AB111" s="5"/>
      <c r="AC111" s="5"/>
      <c r="AD111" s="5"/>
    </row>
    <row r="112" ht="15.75" customHeight="1">
      <c r="A112" s="6" t="s">
        <v>199</v>
      </c>
      <c r="B112" s="6" t="s">
        <v>266</v>
      </c>
      <c r="C112" s="6" t="s">
        <v>62</v>
      </c>
      <c r="D112" s="6" t="s">
        <v>27</v>
      </c>
      <c r="E112" s="6" t="s">
        <v>267</v>
      </c>
      <c r="F112" s="6" t="s">
        <v>268</v>
      </c>
      <c r="G112" s="7">
        <v>121.8</v>
      </c>
      <c r="H112" s="9">
        <f t="shared" si="1"/>
        <v>98.00210084</v>
      </c>
      <c r="I112" s="9">
        <f t="shared" si="2"/>
        <v>250.5042017</v>
      </c>
      <c r="J112" s="9">
        <f t="shared" si="3"/>
        <v>250.5042017</v>
      </c>
      <c r="K112" s="9">
        <f t="shared" si="4"/>
        <v>298.1</v>
      </c>
      <c r="L112" s="6" t="s">
        <v>280</v>
      </c>
      <c r="M112" s="6" t="s">
        <v>48</v>
      </c>
      <c r="N112" s="8">
        <v>208.0</v>
      </c>
      <c r="O112" s="6" t="s">
        <v>62</v>
      </c>
      <c r="P112" s="6" t="s">
        <v>69</v>
      </c>
      <c r="Q112" s="6" t="s">
        <v>70</v>
      </c>
      <c r="R112" s="6" t="s">
        <v>58</v>
      </c>
      <c r="S112" s="6" t="s">
        <v>270</v>
      </c>
      <c r="T112" s="8" t="s">
        <v>277</v>
      </c>
      <c r="U112" s="6" t="s">
        <v>46</v>
      </c>
      <c r="V112" s="6" t="s">
        <v>48</v>
      </c>
      <c r="W112" s="6" t="s">
        <v>48</v>
      </c>
      <c r="X112" s="6" t="s">
        <v>52</v>
      </c>
      <c r="Y112" s="5"/>
      <c r="Z112" s="5"/>
      <c r="AA112" s="5"/>
      <c r="AB112" s="5"/>
      <c r="AC112" s="5"/>
      <c r="AD112" s="5"/>
    </row>
    <row r="113" ht="15.75" customHeight="1">
      <c r="A113" s="6" t="s">
        <v>199</v>
      </c>
      <c r="B113" s="6" t="s">
        <v>266</v>
      </c>
      <c r="C113" s="6" t="s">
        <v>72</v>
      </c>
      <c r="D113" s="6" t="s">
        <v>54</v>
      </c>
      <c r="E113" s="6" t="s">
        <v>267</v>
      </c>
      <c r="F113" s="6" t="s">
        <v>268</v>
      </c>
      <c r="G113" s="7">
        <v>109.03999999999999</v>
      </c>
      <c r="H113" s="9">
        <f t="shared" si="1"/>
        <v>87.27941176</v>
      </c>
      <c r="I113" s="9">
        <f t="shared" si="2"/>
        <v>229.0588235</v>
      </c>
      <c r="J113" s="9">
        <f t="shared" si="3"/>
        <v>229.0588235</v>
      </c>
      <c r="K113" s="9">
        <f t="shared" si="4"/>
        <v>272.58</v>
      </c>
      <c r="L113" s="6" t="s">
        <v>281</v>
      </c>
      <c r="M113" s="6" t="s">
        <v>48</v>
      </c>
      <c r="N113" s="8">
        <v>212.0</v>
      </c>
      <c r="O113" s="6" t="s">
        <v>74</v>
      </c>
      <c r="P113" s="6" t="s">
        <v>75</v>
      </c>
      <c r="Q113" s="6" t="s">
        <v>76</v>
      </c>
      <c r="R113" s="6" t="s">
        <v>58</v>
      </c>
      <c r="S113" s="6" t="s">
        <v>270</v>
      </c>
      <c r="T113" s="8" t="s">
        <v>275</v>
      </c>
      <c r="U113" s="6" t="s">
        <v>46</v>
      </c>
      <c r="V113" s="6" t="s">
        <v>48</v>
      </c>
      <c r="W113" s="6" t="s">
        <v>48</v>
      </c>
      <c r="X113" s="6" t="s">
        <v>77</v>
      </c>
      <c r="Y113" s="5"/>
      <c r="Z113" s="5"/>
      <c r="AA113" s="5"/>
      <c r="AB113" s="5"/>
      <c r="AC113" s="5"/>
      <c r="AD113" s="5"/>
    </row>
    <row r="114" ht="15.75" customHeight="1">
      <c r="A114" s="6" t="s">
        <v>199</v>
      </c>
      <c r="B114" s="6" t="s">
        <v>266</v>
      </c>
      <c r="C114" s="6" t="s">
        <v>72</v>
      </c>
      <c r="D114" s="6" t="s">
        <v>27</v>
      </c>
      <c r="E114" s="6" t="s">
        <v>267</v>
      </c>
      <c r="F114" s="6" t="s">
        <v>268</v>
      </c>
      <c r="G114" s="7">
        <v>121.8</v>
      </c>
      <c r="H114" s="9">
        <f t="shared" si="1"/>
        <v>98.00210084</v>
      </c>
      <c r="I114" s="9">
        <f t="shared" si="2"/>
        <v>250.5042017</v>
      </c>
      <c r="J114" s="9">
        <f t="shared" si="3"/>
        <v>250.5042017</v>
      </c>
      <c r="K114" s="9">
        <f t="shared" si="4"/>
        <v>298.1</v>
      </c>
      <c r="L114" s="6" t="s">
        <v>282</v>
      </c>
      <c r="M114" s="6" t="s">
        <v>48</v>
      </c>
      <c r="N114" s="8">
        <v>213.0</v>
      </c>
      <c r="O114" s="6" t="s">
        <v>74</v>
      </c>
      <c r="P114" s="6" t="s">
        <v>75</v>
      </c>
      <c r="Q114" s="6" t="s">
        <v>76</v>
      </c>
      <c r="R114" s="6" t="s">
        <v>58</v>
      </c>
      <c r="S114" s="6" t="s">
        <v>270</v>
      </c>
      <c r="T114" s="8" t="s">
        <v>277</v>
      </c>
      <c r="U114" s="6" t="s">
        <v>46</v>
      </c>
      <c r="V114" s="6" t="s">
        <v>48</v>
      </c>
      <c r="W114" s="6" t="s">
        <v>48</v>
      </c>
      <c r="X114" s="6" t="s">
        <v>77</v>
      </c>
      <c r="Y114" s="5"/>
      <c r="Z114" s="5"/>
      <c r="AA114" s="5"/>
      <c r="AB114" s="5"/>
      <c r="AC114" s="5"/>
      <c r="AD114" s="5"/>
    </row>
    <row r="115" ht="15.75" customHeight="1">
      <c r="A115" s="6" t="s">
        <v>199</v>
      </c>
      <c r="B115" s="6" t="s">
        <v>283</v>
      </c>
      <c r="C115" s="6" t="s">
        <v>26</v>
      </c>
      <c r="D115" s="6" t="s">
        <v>54</v>
      </c>
      <c r="E115" s="6" t="s">
        <v>284</v>
      </c>
      <c r="F115" s="6" t="s">
        <v>285</v>
      </c>
      <c r="G115" s="7">
        <v>121.8</v>
      </c>
      <c r="H115" s="9">
        <f t="shared" si="1"/>
        <v>98.00210084</v>
      </c>
      <c r="I115" s="9">
        <f t="shared" si="2"/>
        <v>250.5042017</v>
      </c>
      <c r="J115" s="9">
        <f t="shared" si="3"/>
        <v>250.5042017</v>
      </c>
      <c r="K115" s="9">
        <f t="shared" si="4"/>
        <v>298.1</v>
      </c>
      <c r="L115" s="6" t="s">
        <v>177</v>
      </c>
      <c r="M115" s="6" t="s">
        <v>37</v>
      </c>
      <c r="N115" s="8">
        <v>253.0</v>
      </c>
      <c r="O115" s="6" t="s">
        <v>40</v>
      </c>
      <c r="P115" s="6" t="s">
        <v>42</v>
      </c>
      <c r="Q115" s="6" t="s">
        <v>44</v>
      </c>
      <c r="R115" s="6" t="s">
        <v>41</v>
      </c>
      <c r="S115" s="6" t="s">
        <v>286</v>
      </c>
      <c r="T115" s="8" t="s">
        <v>287</v>
      </c>
      <c r="U115" s="6" t="s">
        <v>46</v>
      </c>
      <c r="V115" s="6" t="s">
        <v>48</v>
      </c>
      <c r="W115" s="6" t="s">
        <v>48</v>
      </c>
      <c r="X115" s="6" t="s">
        <v>52</v>
      </c>
      <c r="Y115" s="5"/>
      <c r="Z115" s="5"/>
      <c r="AA115" s="5"/>
      <c r="AB115" s="5"/>
      <c r="AC115" s="5"/>
      <c r="AD115" s="5"/>
    </row>
    <row r="116" ht="15.75" customHeight="1">
      <c r="A116" s="6" t="s">
        <v>199</v>
      </c>
      <c r="B116" s="6" t="s">
        <v>283</v>
      </c>
      <c r="C116" s="6" t="s">
        <v>26</v>
      </c>
      <c r="D116" s="6" t="s">
        <v>27</v>
      </c>
      <c r="E116" s="6" t="s">
        <v>284</v>
      </c>
      <c r="F116" s="6" t="s">
        <v>285</v>
      </c>
      <c r="G116" s="7">
        <v>140.35999999999999</v>
      </c>
      <c r="H116" s="9">
        <f t="shared" si="1"/>
        <v>113.5987395</v>
      </c>
      <c r="I116" s="9">
        <f t="shared" si="2"/>
        <v>281.697479</v>
      </c>
      <c r="J116" s="9">
        <f t="shared" si="3"/>
        <v>281.697479</v>
      </c>
      <c r="K116" s="9">
        <f t="shared" si="4"/>
        <v>335.22</v>
      </c>
      <c r="L116" s="6" t="s">
        <v>288</v>
      </c>
      <c r="M116" s="6" t="s">
        <v>37</v>
      </c>
      <c r="N116" s="8">
        <v>254.0</v>
      </c>
      <c r="O116" s="6" t="s">
        <v>40</v>
      </c>
      <c r="P116" s="6" t="s">
        <v>42</v>
      </c>
      <c r="Q116" s="6" t="s">
        <v>44</v>
      </c>
      <c r="R116" s="6" t="s">
        <v>41</v>
      </c>
      <c r="S116" s="6" t="s">
        <v>286</v>
      </c>
      <c r="T116" s="8" t="s">
        <v>289</v>
      </c>
      <c r="U116" s="6" t="s">
        <v>46</v>
      </c>
      <c r="V116" s="6" t="s">
        <v>48</v>
      </c>
      <c r="W116" s="6" t="s">
        <v>48</v>
      </c>
      <c r="X116" s="6" t="s">
        <v>52</v>
      </c>
      <c r="Y116" s="5"/>
      <c r="Z116" s="5"/>
      <c r="AA116" s="5"/>
      <c r="AB116" s="5"/>
      <c r="AC116" s="5"/>
      <c r="AD116" s="5"/>
    </row>
    <row r="117" ht="15.75" customHeight="1">
      <c r="A117" s="6" t="s">
        <v>199</v>
      </c>
      <c r="B117" s="6" t="s">
        <v>283</v>
      </c>
      <c r="C117" s="6" t="s">
        <v>26</v>
      </c>
      <c r="D117" s="6" t="s">
        <v>129</v>
      </c>
      <c r="E117" s="6" t="s">
        <v>284</v>
      </c>
      <c r="F117" s="6" t="s">
        <v>285</v>
      </c>
      <c r="G117" s="7">
        <v>165.88</v>
      </c>
      <c r="H117" s="9">
        <f t="shared" si="1"/>
        <v>135.0441176</v>
      </c>
      <c r="I117" s="9">
        <f t="shared" si="2"/>
        <v>324.5882353</v>
      </c>
      <c r="J117" s="9">
        <f t="shared" si="3"/>
        <v>324.5882353</v>
      </c>
      <c r="K117" s="9">
        <f t="shared" si="4"/>
        <v>386.26</v>
      </c>
      <c r="L117" s="6" t="s">
        <v>290</v>
      </c>
      <c r="M117" s="6" t="s">
        <v>37</v>
      </c>
      <c r="N117" s="8">
        <v>255.0</v>
      </c>
      <c r="O117" s="6" t="s">
        <v>40</v>
      </c>
      <c r="P117" s="6" t="s">
        <v>42</v>
      </c>
      <c r="Q117" s="6" t="s">
        <v>44</v>
      </c>
      <c r="R117" s="6" t="s">
        <v>41</v>
      </c>
      <c r="S117" s="6" t="s">
        <v>286</v>
      </c>
      <c r="T117" s="8" t="s">
        <v>291</v>
      </c>
      <c r="U117" s="6" t="s">
        <v>46</v>
      </c>
      <c r="V117" s="6" t="s">
        <v>48</v>
      </c>
      <c r="W117" s="6" t="s">
        <v>48</v>
      </c>
      <c r="X117" s="6" t="s">
        <v>52</v>
      </c>
      <c r="Y117" s="5"/>
      <c r="Z117" s="5"/>
      <c r="AA117" s="5"/>
      <c r="AB117" s="5"/>
      <c r="AC117" s="5"/>
      <c r="AD117" s="5"/>
    </row>
    <row r="118" ht="15.75" customHeight="1">
      <c r="A118" s="6" t="s">
        <v>199</v>
      </c>
      <c r="B118" s="6" t="s">
        <v>283</v>
      </c>
      <c r="C118" s="6" t="s">
        <v>53</v>
      </c>
      <c r="D118" s="6" t="s">
        <v>54</v>
      </c>
      <c r="E118" s="6" t="s">
        <v>284</v>
      </c>
      <c r="F118" s="6" t="s">
        <v>285</v>
      </c>
      <c r="G118" s="7">
        <v>191.39999999999998</v>
      </c>
      <c r="H118" s="9">
        <f t="shared" si="1"/>
        <v>156.4894958</v>
      </c>
      <c r="I118" s="9">
        <f t="shared" si="2"/>
        <v>367.4789916</v>
      </c>
      <c r="J118" s="9">
        <f t="shared" si="3"/>
        <v>367.4789916</v>
      </c>
      <c r="K118" s="9">
        <f t="shared" si="4"/>
        <v>437.3</v>
      </c>
      <c r="L118" s="6" t="s">
        <v>292</v>
      </c>
      <c r="M118" s="6" t="s">
        <v>48</v>
      </c>
      <c r="N118" s="8">
        <v>258.0</v>
      </c>
      <c r="O118" s="6" t="s">
        <v>53</v>
      </c>
      <c r="P118" s="6" t="s">
        <v>56</v>
      </c>
      <c r="Q118" s="6" t="s">
        <v>57</v>
      </c>
      <c r="R118" s="6" t="s">
        <v>58</v>
      </c>
      <c r="S118" s="6" t="s">
        <v>286</v>
      </c>
      <c r="T118" s="8" t="s">
        <v>147</v>
      </c>
      <c r="U118" s="6" t="s">
        <v>46</v>
      </c>
      <c r="V118" s="6" t="s">
        <v>48</v>
      </c>
      <c r="W118" s="6" t="s">
        <v>48</v>
      </c>
      <c r="X118" s="6" t="s">
        <v>52</v>
      </c>
      <c r="Y118" s="5"/>
      <c r="Z118" s="5"/>
      <c r="AA118" s="5"/>
      <c r="AB118" s="5"/>
      <c r="AC118" s="5"/>
      <c r="AD118" s="5"/>
    </row>
    <row r="119" ht="15.75" customHeight="1">
      <c r="A119" s="6" t="s">
        <v>199</v>
      </c>
      <c r="B119" s="6" t="s">
        <v>283</v>
      </c>
      <c r="C119" s="6" t="s">
        <v>53</v>
      </c>
      <c r="D119" s="6" t="s">
        <v>27</v>
      </c>
      <c r="E119" s="6" t="s">
        <v>284</v>
      </c>
      <c r="F119" s="6" t="s">
        <v>285</v>
      </c>
      <c r="G119" s="7">
        <v>223.88</v>
      </c>
      <c r="H119" s="9">
        <f t="shared" si="1"/>
        <v>183.7836134</v>
      </c>
      <c r="I119" s="9">
        <f t="shared" si="2"/>
        <v>422.0672269</v>
      </c>
      <c r="J119" s="9">
        <f t="shared" si="3"/>
        <v>422.0672269</v>
      </c>
      <c r="K119" s="9">
        <f t="shared" si="4"/>
        <v>502.26</v>
      </c>
      <c r="L119" s="6" t="s">
        <v>293</v>
      </c>
      <c r="M119" s="6" t="s">
        <v>48</v>
      </c>
      <c r="N119" s="8">
        <v>259.0</v>
      </c>
      <c r="O119" s="6" t="s">
        <v>53</v>
      </c>
      <c r="P119" s="6" t="s">
        <v>56</v>
      </c>
      <c r="Q119" s="6" t="s">
        <v>57</v>
      </c>
      <c r="R119" s="6" t="s">
        <v>58</v>
      </c>
      <c r="S119" s="6" t="s">
        <v>286</v>
      </c>
      <c r="T119" s="8" t="s">
        <v>294</v>
      </c>
      <c r="U119" s="6" t="s">
        <v>46</v>
      </c>
      <c r="V119" s="6" t="s">
        <v>48</v>
      </c>
      <c r="W119" s="6" t="s">
        <v>48</v>
      </c>
      <c r="X119" s="6" t="s">
        <v>52</v>
      </c>
      <c r="Y119" s="5"/>
      <c r="Z119" s="5"/>
      <c r="AA119" s="5"/>
      <c r="AB119" s="5"/>
      <c r="AC119" s="5"/>
      <c r="AD119" s="5"/>
    </row>
    <row r="120" ht="15.75" customHeight="1">
      <c r="A120" s="6" t="s">
        <v>199</v>
      </c>
      <c r="B120" s="6" t="s">
        <v>283</v>
      </c>
      <c r="C120" s="6" t="s">
        <v>53</v>
      </c>
      <c r="D120" s="6" t="s">
        <v>129</v>
      </c>
      <c r="E120" s="6" t="s">
        <v>284</v>
      </c>
      <c r="F120" s="6" t="s">
        <v>285</v>
      </c>
      <c r="G120" s="7">
        <v>319.0</v>
      </c>
      <c r="H120" s="9">
        <f t="shared" si="1"/>
        <v>263.7163866</v>
      </c>
      <c r="I120" s="9">
        <f t="shared" si="2"/>
        <v>581.9327731</v>
      </c>
      <c r="J120" s="9">
        <f t="shared" si="3"/>
        <v>581.9327731</v>
      </c>
      <c r="K120" s="9">
        <f t="shared" si="4"/>
        <v>692.5</v>
      </c>
      <c r="L120" s="6" t="s">
        <v>257</v>
      </c>
      <c r="M120" s="6" t="s">
        <v>48</v>
      </c>
      <c r="N120" s="8">
        <v>260.0</v>
      </c>
      <c r="O120" s="6" t="s">
        <v>53</v>
      </c>
      <c r="P120" s="6" t="s">
        <v>56</v>
      </c>
      <c r="Q120" s="6" t="s">
        <v>57</v>
      </c>
      <c r="R120" s="6" t="s">
        <v>58</v>
      </c>
      <c r="S120" s="6" t="s">
        <v>286</v>
      </c>
      <c r="T120" s="8" t="s">
        <v>295</v>
      </c>
      <c r="U120" s="6" t="s">
        <v>46</v>
      </c>
      <c r="V120" s="6" t="s">
        <v>48</v>
      </c>
      <c r="W120" s="6" t="s">
        <v>48</v>
      </c>
      <c r="X120" s="6" t="s">
        <v>52</v>
      </c>
      <c r="Y120" s="5"/>
      <c r="Z120" s="5"/>
      <c r="AA120" s="5"/>
      <c r="AB120" s="5"/>
      <c r="AC120" s="5"/>
      <c r="AD120" s="5"/>
    </row>
    <row r="121" ht="15.75" customHeight="1">
      <c r="A121" s="6" t="s">
        <v>199</v>
      </c>
      <c r="B121" s="6" t="s">
        <v>283</v>
      </c>
      <c r="C121" s="6" t="s">
        <v>62</v>
      </c>
      <c r="D121" s="6" t="s">
        <v>54</v>
      </c>
      <c r="E121" s="6" t="s">
        <v>284</v>
      </c>
      <c r="F121" s="6" t="s">
        <v>285</v>
      </c>
      <c r="G121" s="7">
        <v>109.03999999999999</v>
      </c>
      <c r="H121" s="9">
        <f t="shared" si="1"/>
        <v>87.27941176</v>
      </c>
      <c r="I121" s="9">
        <f t="shared" si="2"/>
        <v>229.0588235</v>
      </c>
      <c r="J121" s="9">
        <f t="shared" si="3"/>
        <v>229.0588235</v>
      </c>
      <c r="K121" s="9">
        <f t="shared" si="4"/>
        <v>272.58</v>
      </c>
      <c r="L121" s="6" t="s">
        <v>296</v>
      </c>
      <c r="M121" s="6" t="s">
        <v>48</v>
      </c>
      <c r="N121" s="8">
        <v>243.0</v>
      </c>
      <c r="O121" s="6" t="s">
        <v>62</v>
      </c>
      <c r="P121" s="6" t="s">
        <v>69</v>
      </c>
      <c r="Q121" s="6" t="s">
        <v>70</v>
      </c>
      <c r="R121" s="6" t="s">
        <v>58</v>
      </c>
      <c r="S121" s="6" t="s">
        <v>286</v>
      </c>
      <c r="T121" s="8" t="s">
        <v>147</v>
      </c>
      <c r="U121" s="6" t="s">
        <v>46</v>
      </c>
      <c r="V121" s="6" t="s">
        <v>48</v>
      </c>
      <c r="W121" s="6" t="s">
        <v>48</v>
      </c>
      <c r="X121" s="6" t="s">
        <v>52</v>
      </c>
      <c r="Y121" s="5"/>
      <c r="Z121" s="5"/>
      <c r="AA121" s="5"/>
      <c r="AB121" s="5"/>
      <c r="AC121" s="5"/>
      <c r="AD121" s="5"/>
    </row>
    <row r="122" ht="15.75" customHeight="1">
      <c r="A122" s="6" t="s">
        <v>199</v>
      </c>
      <c r="B122" s="6" t="s">
        <v>283</v>
      </c>
      <c r="C122" s="6" t="s">
        <v>62</v>
      </c>
      <c r="D122" s="6" t="s">
        <v>27</v>
      </c>
      <c r="E122" s="6" t="s">
        <v>284</v>
      </c>
      <c r="F122" s="6" t="s">
        <v>285</v>
      </c>
      <c r="G122" s="7">
        <v>121.8</v>
      </c>
      <c r="H122" s="9">
        <f t="shared" si="1"/>
        <v>98.00210084</v>
      </c>
      <c r="I122" s="9">
        <f t="shared" si="2"/>
        <v>250.5042017</v>
      </c>
      <c r="J122" s="9">
        <f t="shared" si="3"/>
        <v>250.5042017</v>
      </c>
      <c r="K122" s="9">
        <f t="shared" si="4"/>
        <v>298.1</v>
      </c>
      <c r="L122" s="6" t="s">
        <v>297</v>
      </c>
      <c r="M122" s="6" t="s">
        <v>48</v>
      </c>
      <c r="N122" s="8">
        <v>244.0</v>
      </c>
      <c r="O122" s="6" t="s">
        <v>62</v>
      </c>
      <c r="P122" s="6" t="s">
        <v>69</v>
      </c>
      <c r="Q122" s="6" t="s">
        <v>70</v>
      </c>
      <c r="R122" s="6" t="s">
        <v>58</v>
      </c>
      <c r="S122" s="6" t="s">
        <v>286</v>
      </c>
      <c r="T122" s="8" t="s">
        <v>294</v>
      </c>
      <c r="U122" s="6" t="s">
        <v>46</v>
      </c>
      <c r="V122" s="6" t="s">
        <v>48</v>
      </c>
      <c r="W122" s="6" t="s">
        <v>48</v>
      </c>
      <c r="X122" s="6" t="s">
        <v>52</v>
      </c>
      <c r="Y122" s="5"/>
      <c r="Z122" s="5"/>
      <c r="AA122" s="5"/>
      <c r="AB122" s="5"/>
      <c r="AC122" s="5"/>
      <c r="AD122" s="5"/>
    </row>
    <row r="123" ht="15.75" customHeight="1">
      <c r="A123" s="6" t="s">
        <v>199</v>
      </c>
      <c r="B123" s="6" t="s">
        <v>283</v>
      </c>
      <c r="C123" s="6" t="s">
        <v>62</v>
      </c>
      <c r="D123" s="6" t="s">
        <v>129</v>
      </c>
      <c r="E123" s="6" t="s">
        <v>284</v>
      </c>
      <c r="F123" s="6" t="s">
        <v>285</v>
      </c>
      <c r="G123" s="7">
        <v>140.35999999999999</v>
      </c>
      <c r="H123" s="9">
        <f t="shared" si="1"/>
        <v>113.5987395</v>
      </c>
      <c r="I123" s="9">
        <f t="shared" si="2"/>
        <v>281.697479</v>
      </c>
      <c r="J123" s="9">
        <f t="shared" si="3"/>
        <v>281.697479</v>
      </c>
      <c r="K123" s="9">
        <f t="shared" si="4"/>
        <v>335.22</v>
      </c>
      <c r="L123" s="6" t="s">
        <v>64</v>
      </c>
      <c r="M123" s="6" t="s">
        <v>48</v>
      </c>
      <c r="N123" s="8">
        <v>615.0</v>
      </c>
      <c r="O123" s="6" t="s">
        <v>62</v>
      </c>
      <c r="P123" s="6" t="s">
        <v>69</v>
      </c>
      <c r="Q123" s="6" t="s">
        <v>70</v>
      </c>
      <c r="R123" s="6" t="s">
        <v>58</v>
      </c>
      <c r="S123" s="6" t="s">
        <v>286</v>
      </c>
      <c r="T123" s="8" t="s">
        <v>298</v>
      </c>
      <c r="U123" s="6" t="s">
        <v>46</v>
      </c>
      <c r="V123" s="6" t="s">
        <v>48</v>
      </c>
      <c r="W123" s="6" t="s">
        <v>48</v>
      </c>
      <c r="X123" s="6" t="s">
        <v>52</v>
      </c>
      <c r="Y123" s="5"/>
      <c r="Z123" s="5"/>
      <c r="AA123" s="5"/>
      <c r="AB123" s="5"/>
      <c r="AC123" s="5"/>
      <c r="AD123" s="5"/>
    </row>
    <row r="124" ht="15.75" customHeight="1">
      <c r="A124" s="6" t="s">
        <v>199</v>
      </c>
      <c r="B124" s="6" t="s">
        <v>283</v>
      </c>
      <c r="C124" s="6" t="s">
        <v>62</v>
      </c>
      <c r="D124" s="6" t="s">
        <v>299</v>
      </c>
      <c r="E124" s="6" t="s">
        <v>284</v>
      </c>
      <c r="F124" s="6" t="s">
        <v>285</v>
      </c>
      <c r="G124" s="7">
        <v>229.67999999999998</v>
      </c>
      <c r="H124" s="9">
        <f t="shared" si="1"/>
        <v>188.657563</v>
      </c>
      <c r="I124" s="9">
        <f t="shared" si="2"/>
        <v>431.8151261</v>
      </c>
      <c r="J124" s="9">
        <f t="shared" si="3"/>
        <v>431.8151261</v>
      </c>
      <c r="K124" s="9">
        <f t="shared" si="4"/>
        <v>513.86</v>
      </c>
      <c r="L124" s="6" t="s">
        <v>300</v>
      </c>
      <c r="M124" s="6" t="s">
        <v>48</v>
      </c>
      <c r="N124" s="8">
        <v>247.0</v>
      </c>
      <c r="O124" s="6" t="s">
        <v>62</v>
      </c>
      <c r="P124" s="6" t="s">
        <v>301</v>
      </c>
      <c r="Q124" s="6" t="s">
        <v>302</v>
      </c>
      <c r="R124" s="6" t="s">
        <v>58</v>
      </c>
      <c r="S124" s="6" t="s">
        <v>286</v>
      </c>
      <c r="T124" s="8" t="s">
        <v>303</v>
      </c>
      <c r="U124" s="6" t="s">
        <v>46</v>
      </c>
      <c r="V124" s="6" t="s">
        <v>48</v>
      </c>
      <c r="W124" s="6" t="s">
        <v>48</v>
      </c>
      <c r="X124" s="6" t="s">
        <v>52</v>
      </c>
      <c r="Y124" s="5"/>
      <c r="Z124" s="5"/>
      <c r="AA124" s="5"/>
      <c r="AB124" s="5"/>
      <c r="AC124" s="5"/>
      <c r="AD124" s="5"/>
    </row>
    <row r="125" ht="15.75" customHeight="1">
      <c r="A125" s="6" t="s">
        <v>199</v>
      </c>
      <c r="B125" s="6" t="s">
        <v>283</v>
      </c>
      <c r="C125" s="6" t="s">
        <v>72</v>
      </c>
      <c r="D125" s="6" t="s">
        <v>54</v>
      </c>
      <c r="E125" s="6" t="s">
        <v>284</v>
      </c>
      <c r="F125" s="6" t="s">
        <v>285</v>
      </c>
      <c r="G125" s="7">
        <v>109.03999999999999</v>
      </c>
      <c r="H125" s="9">
        <f t="shared" si="1"/>
        <v>87.27941176</v>
      </c>
      <c r="I125" s="9">
        <f t="shared" si="2"/>
        <v>229.0588235</v>
      </c>
      <c r="J125" s="9">
        <f t="shared" si="3"/>
        <v>229.0588235</v>
      </c>
      <c r="K125" s="9">
        <f t="shared" si="4"/>
        <v>272.58</v>
      </c>
      <c r="L125" s="6" t="s">
        <v>304</v>
      </c>
      <c r="M125" s="6" t="s">
        <v>48</v>
      </c>
      <c r="N125" s="8">
        <v>249.0</v>
      </c>
      <c r="O125" s="6" t="s">
        <v>74</v>
      </c>
      <c r="P125" s="6" t="s">
        <v>75</v>
      </c>
      <c r="Q125" s="6" t="s">
        <v>76</v>
      </c>
      <c r="R125" s="6" t="s">
        <v>58</v>
      </c>
      <c r="S125" s="6" t="s">
        <v>286</v>
      </c>
      <c r="T125" s="8" t="s">
        <v>147</v>
      </c>
      <c r="U125" s="6" t="s">
        <v>46</v>
      </c>
      <c r="V125" s="6" t="s">
        <v>48</v>
      </c>
      <c r="W125" s="6" t="s">
        <v>48</v>
      </c>
      <c r="X125" s="6" t="s">
        <v>77</v>
      </c>
      <c r="Y125" s="5"/>
      <c r="Z125" s="5"/>
      <c r="AA125" s="5"/>
      <c r="AB125" s="5"/>
      <c r="AC125" s="5"/>
      <c r="AD125" s="5"/>
    </row>
    <row r="126" ht="15.75" customHeight="1">
      <c r="A126" s="6" t="s">
        <v>199</v>
      </c>
      <c r="B126" s="6" t="s">
        <v>283</v>
      </c>
      <c r="C126" s="6" t="s">
        <v>72</v>
      </c>
      <c r="D126" s="6" t="s">
        <v>27</v>
      </c>
      <c r="E126" s="6" t="s">
        <v>284</v>
      </c>
      <c r="F126" s="6" t="s">
        <v>285</v>
      </c>
      <c r="G126" s="7">
        <v>121.8</v>
      </c>
      <c r="H126" s="9">
        <f t="shared" si="1"/>
        <v>98.00210084</v>
      </c>
      <c r="I126" s="9">
        <f t="shared" si="2"/>
        <v>250.5042017</v>
      </c>
      <c r="J126" s="9">
        <f t="shared" si="3"/>
        <v>250.5042017</v>
      </c>
      <c r="K126" s="9">
        <f t="shared" si="4"/>
        <v>298.1</v>
      </c>
      <c r="L126" s="6" t="s">
        <v>305</v>
      </c>
      <c r="M126" s="6" t="s">
        <v>48</v>
      </c>
      <c r="N126" s="8">
        <v>250.0</v>
      </c>
      <c r="O126" s="6" t="s">
        <v>74</v>
      </c>
      <c r="P126" s="6" t="s">
        <v>75</v>
      </c>
      <c r="Q126" s="6" t="s">
        <v>76</v>
      </c>
      <c r="R126" s="6" t="s">
        <v>58</v>
      </c>
      <c r="S126" s="6" t="s">
        <v>286</v>
      </c>
      <c r="T126" s="8" t="s">
        <v>294</v>
      </c>
      <c r="U126" s="6" t="s">
        <v>46</v>
      </c>
      <c r="V126" s="6" t="s">
        <v>48</v>
      </c>
      <c r="W126" s="6" t="s">
        <v>48</v>
      </c>
      <c r="X126" s="6" t="s">
        <v>77</v>
      </c>
      <c r="Y126" s="5"/>
      <c r="Z126" s="5"/>
      <c r="AA126" s="5"/>
      <c r="AB126" s="5"/>
      <c r="AC126" s="5"/>
      <c r="AD126" s="5"/>
    </row>
    <row r="127" ht="15.75" customHeight="1">
      <c r="A127" s="6" t="s">
        <v>199</v>
      </c>
      <c r="B127" s="6" t="s">
        <v>283</v>
      </c>
      <c r="C127" s="6" t="s">
        <v>72</v>
      </c>
      <c r="D127" s="6" t="s">
        <v>129</v>
      </c>
      <c r="E127" s="6" t="s">
        <v>284</v>
      </c>
      <c r="F127" s="6" t="s">
        <v>285</v>
      </c>
      <c r="G127" s="7">
        <v>160.07999999999998</v>
      </c>
      <c r="H127" s="9">
        <f t="shared" si="1"/>
        <v>130.1701681</v>
      </c>
      <c r="I127" s="9">
        <f t="shared" si="2"/>
        <v>314.8403361</v>
      </c>
      <c r="J127" s="9">
        <f t="shared" si="3"/>
        <v>314.8403361</v>
      </c>
      <c r="K127" s="9">
        <f t="shared" si="4"/>
        <v>374.66</v>
      </c>
      <c r="L127" s="6" t="s">
        <v>239</v>
      </c>
      <c r="M127" s="6" t="s">
        <v>48</v>
      </c>
      <c r="N127" s="8">
        <v>251.0</v>
      </c>
      <c r="O127" s="6" t="s">
        <v>74</v>
      </c>
      <c r="P127" s="6" t="s">
        <v>75</v>
      </c>
      <c r="Q127" s="6" t="s">
        <v>76</v>
      </c>
      <c r="R127" s="6" t="s">
        <v>58</v>
      </c>
      <c r="S127" s="6" t="s">
        <v>286</v>
      </c>
      <c r="T127" s="8" t="s">
        <v>295</v>
      </c>
      <c r="U127" s="6" t="s">
        <v>46</v>
      </c>
      <c r="V127" s="6" t="s">
        <v>48</v>
      </c>
      <c r="W127" s="6" t="s">
        <v>48</v>
      </c>
      <c r="X127" s="6" t="s">
        <v>77</v>
      </c>
      <c r="Y127" s="5"/>
      <c r="Z127" s="5"/>
      <c r="AA127" s="5"/>
      <c r="AB127" s="5"/>
      <c r="AC127" s="5"/>
      <c r="AD127" s="5"/>
    </row>
    <row r="128" ht="15.75" customHeight="1">
      <c r="A128" s="6" t="s">
        <v>199</v>
      </c>
      <c r="B128" s="6" t="s">
        <v>306</v>
      </c>
      <c r="C128" s="6" t="s">
        <v>26</v>
      </c>
      <c r="D128" s="6" t="s">
        <v>27</v>
      </c>
      <c r="E128" s="6" t="s">
        <v>307</v>
      </c>
      <c r="F128" s="6" t="s">
        <v>308</v>
      </c>
      <c r="G128" s="7">
        <v>139.2</v>
      </c>
      <c r="H128" s="9">
        <f t="shared" si="1"/>
        <v>112.6239496</v>
      </c>
      <c r="I128" s="9">
        <f t="shared" si="2"/>
        <v>279.7478992</v>
      </c>
      <c r="J128" s="9">
        <f t="shared" si="3"/>
        <v>279.7478992</v>
      </c>
      <c r="K128" s="9">
        <f t="shared" si="4"/>
        <v>332.9</v>
      </c>
      <c r="L128" s="6" t="s">
        <v>309</v>
      </c>
      <c r="M128" s="6" t="s">
        <v>31</v>
      </c>
      <c r="N128" s="8">
        <v>2003.0</v>
      </c>
      <c r="O128" s="6" t="s">
        <v>36</v>
      </c>
      <c r="P128" s="6" t="s">
        <v>38</v>
      </c>
      <c r="Q128" s="6" t="s">
        <v>39</v>
      </c>
      <c r="R128" s="6" t="s">
        <v>41</v>
      </c>
      <c r="S128" s="6" t="s">
        <v>310</v>
      </c>
      <c r="T128" s="8" t="s">
        <v>311</v>
      </c>
      <c r="U128" s="6" t="s">
        <v>46</v>
      </c>
      <c r="V128" s="6" t="s">
        <v>48</v>
      </c>
      <c r="W128" s="6" t="s">
        <v>48</v>
      </c>
      <c r="X128" s="6" t="s">
        <v>51</v>
      </c>
      <c r="Y128" s="5"/>
      <c r="Z128" s="5"/>
      <c r="AA128" s="5"/>
      <c r="AB128" s="5"/>
      <c r="AC128" s="5"/>
      <c r="AD128" s="5"/>
    </row>
    <row r="129" ht="15.75" customHeight="1">
      <c r="A129" s="6" t="s">
        <v>199</v>
      </c>
      <c r="B129" s="6" t="s">
        <v>306</v>
      </c>
      <c r="C129" s="6" t="s">
        <v>53</v>
      </c>
      <c r="D129" s="6" t="s">
        <v>54</v>
      </c>
      <c r="E129" s="6" t="s">
        <v>307</v>
      </c>
      <c r="F129" s="6" t="s">
        <v>308</v>
      </c>
      <c r="G129" s="7">
        <v>243.6</v>
      </c>
      <c r="H129" s="9">
        <f t="shared" si="1"/>
        <v>200.355042</v>
      </c>
      <c r="I129" s="9">
        <f t="shared" si="2"/>
        <v>455.210084</v>
      </c>
      <c r="J129" s="9">
        <f t="shared" si="3"/>
        <v>455.210084</v>
      </c>
      <c r="K129" s="9">
        <f t="shared" si="4"/>
        <v>541.7</v>
      </c>
      <c r="L129" s="6" t="s">
        <v>312</v>
      </c>
      <c r="M129" s="6" t="s">
        <v>84</v>
      </c>
      <c r="N129" s="8">
        <v>539.0</v>
      </c>
      <c r="O129" s="6" t="s">
        <v>85</v>
      </c>
      <c r="P129" s="6" t="s">
        <v>86</v>
      </c>
      <c r="Q129" s="6" t="s">
        <v>57</v>
      </c>
      <c r="R129" s="6" t="s">
        <v>58</v>
      </c>
      <c r="S129" s="6" t="s">
        <v>310</v>
      </c>
      <c r="T129" s="8" t="s">
        <v>313</v>
      </c>
      <c r="U129" s="6" t="s">
        <v>46</v>
      </c>
      <c r="V129" s="6" t="s">
        <v>48</v>
      </c>
      <c r="W129" s="6" t="s">
        <v>48</v>
      </c>
      <c r="X129" s="6" t="s">
        <v>88</v>
      </c>
      <c r="Y129" s="5"/>
      <c r="Z129" s="5"/>
      <c r="AA129" s="5"/>
      <c r="AB129" s="5"/>
      <c r="AC129" s="5"/>
      <c r="AD129" s="5"/>
    </row>
    <row r="130" ht="15.75" customHeight="1">
      <c r="A130" s="6" t="s">
        <v>199</v>
      </c>
      <c r="B130" s="6" t="s">
        <v>306</v>
      </c>
      <c r="C130" s="6" t="s">
        <v>62</v>
      </c>
      <c r="D130" s="6" t="s">
        <v>27</v>
      </c>
      <c r="E130" s="6" t="s">
        <v>307</v>
      </c>
      <c r="F130" s="6" t="s">
        <v>308</v>
      </c>
      <c r="G130" s="7">
        <v>127.6</v>
      </c>
      <c r="H130" s="9">
        <f t="shared" si="1"/>
        <v>102.8760504</v>
      </c>
      <c r="I130" s="9">
        <f t="shared" si="2"/>
        <v>260.2521008</v>
      </c>
      <c r="J130" s="9">
        <f t="shared" si="3"/>
        <v>260.2521008</v>
      </c>
      <c r="K130" s="9">
        <f t="shared" si="4"/>
        <v>309.7</v>
      </c>
      <c r="L130" s="6" t="s">
        <v>83</v>
      </c>
      <c r="M130" s="6" t="s">
        <v>48</v>
      </c>
      <c r="N130" s="8">
        <v>304.0</v>
      </c>
      <c r="O130" s="6" t="s">
        <v>62</v>
      </c>
      <c r="P130" s="6" t="s">
        <v>69</v>
      </c>
      <c r="Q130" s="6" t="s">
        <v>70</v>
      </c>
      <c r="R130" s="6" t="s">
        <v>58</v>
      </c>
      <c r="S130" s="6" t="s">
        <v>310</v>
      </c>
      <c r="T130" s="8" t="s">
        <v>314</v>
      </c>
      <c r="U130" s="6" t="s">
        <v>46</v>
      </c>
      <c r="V130" s="6" t="s">
        <v>48</v>
      </c>
      <c r="W130" s="6" t="s">
        <v>48</v>
      </c>
      <c r="X130" s="6" t="s">
        <v>52</v>
      </c>
      <c r="Y130" s="5"/>
      <c r="Z130" s="5"/>
      <c r="AA130" s="5"/>
      <c r="AB130" s="5"/>
      <c r="AC130" s="5"/>
      <c r="AD130" s="5"/>
    </row>
    <row r="131" ht="15.75" customHeight="1">
      <c r="A131" s="6" t="s">
        <v>199</v>
      </c>
      <c r="B131" s="6" t="s">
        <v>306</v>
      </c>
      <c r="C131" s="6" t="s">
        <v>72</v>
      </c>
      <c r="D131" s="6" t="s">
        <v>54</v>
      </c>
      <c r="E131" s="6" t="s">
        <v>307</v>
      </c>
      <c r="F131" s="6" t="s">
        <v>308</v>
      </c>
      <c r="G131" s="7">
        <v>133.39999999999998</v>
      </c>
      <c r="H131" s="9">
        <f t="shared" si="1"/>
        <v>107.75</v>
      </c>
      <c r="I131" s="9">
        <f t="shared" si="2"/>
        <v>270</v>
      </c>
      <c r="J131" s="9">
        <f t="shared" si="3"/>
        <v>270</v>
      </c>
      <c r="K131" s="9">
        <f t="shared" si="4"/>
        <v>321.3</v>
      </c>
      <c r="L131" s="6" t="s">
        <v>83</v>
      </c>
      <c r="M131" s="6" t="s">
        <v>48</v>
      </c>
      <c r="N131" s="8">
        <v>3163.0</v>
      </c>
      <c r="O131" s="6" t="s">
        <v>74</v>
      </c>
      <c r="P131" s="6" t="s">
        <v>75</v>
      </c>
      <c r="Q131" s="6" t="s">
        <v>76</v>
      </c>
      <c r="R131" s="6" t="s">
        <v>58</v>
      </c>
      <c r="S131" s="6" t="s">
        <v>310</v>
      </c>
      <c r="T131" s="8" t="s">
        <v>313</v>
      </c>
      <c r="U131" s="6" t="s">
        <v>46</v>
      </c>
      <c r="V131" s="6" t="s">
        <v>48</v>
      </c>
      <c r="W131" s="6" t="s">
        <v>48</v>
      </c>
      <c r="X131" s="6" t="s">
        <v>77</v>
      </c>
      <c r="Y131" s="5"/>
      <c r="Z131" s="5"/>
      <c r="AA131" s="5"/>
      <c r="AB131" s="5"/>
      <c r="AC131" s="5"/>
      <c r="AD131" s="5"/>
    </row>
    <row r="132" ht="15.75" customHeight="1">
      <c r="A132" s="6" t="s">
        <v>199</v>
      </c>
      <c r="B132" s="6" t="s">
        <v>306</v>
      </c>
      <c r="C132" s="6" t="s">
        <v>72</v>
      </c>
      <c r="D132" s="6" t="s">
        <v>27</v>
      </c>
      <c r="E132" s="6" t="s">
        <v>307</v>
      </c>
      <c r="F132" s="6" t="s">
        <v>308</v>
      </c>
      <c r="G132" s="7">
        <v>139.2</v>
      </c>
      <c r="H132" s="9">
        <f t="shared" si="1"/>
        <v>112.6239496</v>
      </c>
      <c r="I132" s="9">
        <f t="shared" si="2"/>
        <v>279.7478992</v>
      </c>
      <c r="J132" s="9">
        <f t="shared" si="3"/>
        <v>279.7478992</v>
      </c>
      <c r="K132" s="9">
        <f t="shared" si="4"/>
        <v>332.9</v>
      </c>
      <c r="L132" s="6" t="s">
        <v>130</v>
      </c>
      <c r="M132" s="6" t="s">
        <v>48</v>
      </c>
      <c r="N132" s="8">
        <v>308.0</v>
      </c>
      <c r="O132" s="6" t="s">
        <v>74</v>
      </c>
      <c r="P132" s="6" t="s">
        <v>75</v>
      </c>
      <c r="Q132" s="6" t="s">
        <v>76</v>
      </c>
      <c r="R132" s="6" t="s">
        <v>58</v>
      </c>
      <c r="S132" s="6" t="s">
        <v>310</v>
      </c>
      <c r="T132" s="8" t="s">
        <v>314</v>
      </c>
      <c r="U132" s="6" t="s">
        <v>46</v>
      </c>
      <c r="V132" s="6" t="s">
        <v>48</v>
      </c>
      <c r="W132" s="6" t="s">
        <v>48</v>
      </c>
      <c r="X132" s="6" t="s">
        <v>77</v>
      </c>
      <c r="Y132" s="5"/>
      <c r="Z132" s="5"/>
      <c r="AA132" s="5"/>
      <c r="AB132" s="5"/>
      <c r="AC132" s="5"/>
      <c r="AD132" s="5"/>
    </row>
    <row r="133" ht="15.75" customHeight="1">
      <c r="A133" s="6" t="s">
        <v>315</v>
      </c>
      <c r="B133" s="6" t="s">
        <v>316</v>
      </c>
      <c r="C133" s="6" t="s">
        <v>26</v>
      </c>
      <c r="D133" s="6" t="s">
        <v>129</v>
      </c>
      <c r="E133" s="6" t="s">
        <v>317</v>
      </c>
      <c r="F133" s="6" t="s">
        <v>318</v>
      </c>
      <c r="G133" s="7">
        <v>280.71999999999997</v>
      </c>
      <c r="H133" s="9">
        <f t="shared" si="1"/>
        <v>231.5483193</v>
      </c>
      <c r="I133" s="9">
        <f t="shared" si="2"/>
        <v>517.5966387</v>
      </c>
      <c r="J133" s="9">
        <f t="shared" si="3"/>
        <v>517.5966387</v>
      </c>
      <c r="K133" s="9">
        <f t="shared" si="4"/>
        <v>615.94</v>
      </c>
      <c r="L133" s="6" t="s">
        <v>319</v>
      </c>
      <c r="M133" s="6" t="s">
        <v>37</v>
      </c>
      <c r="N133" s="8">
        <v>542.0</v>
      </c>
      <c r="O133" s="6" t="s">
        <v>40</v>
      </c>
      <c r="P133" s="6" t="s">
        <v>42</v>
      </c>
      <c r="Q133" s="6" t="s">
        <v>44</v>
      </c>
      <c r="R133" s="6" t="s">
        <v>41</v>
      </c>
      <c r="S133" s="6" t="s">
        <v>320</v>
      </c>
      <c r="T133" s="8" t="s">
        <v>321</v>
      </c>
      <c r="U133" s="6" t="s">
        <v>46</v>
      </c>
      <c r="V133" s="6" t="s">
        <v>48</v>
      </c>
      <c r="W133" s="6" t="s">
        <v>48</v>
      </c>
      <c r="X133" s="6" t="s">
        <v>52</v>
      </c>
      <c r="Y133" s="5"/>
      <c r="Z133" s="5"/>
      <c r="AA133" s="5"/>
      <c r="AB133" s="5"/>
      <c r="AC133" s="5"/>
      <c r="AD133" s="5"/>
    </row>
    <row r="134" ht="15.75" customHeight="1">
      <c r="A134" s="6" t="s">
        <v>315</v>
      </c>
      <c r="B134" s="6" t="s">
        <v>316</v>
      </c>
      <c r="C134" s="6" t="s">
        <v>26</v>
      </c>
      <c r="D134" s="6" t="s">
        <v>27</v>
      </c>
      <c r="E134" s="6" t="s">
        <v>317</v>
      </c>
      <c r="F134" s="6" t="s">
        <v>318</v>
      </c>
      <c r="G134" s="7">
        <v>147.32</v>
      </c>
      <c r="H134" s="9">
        <f t="shared" si="1"/>
        <v>119.447479</v>
      </c>
      <c r="I134" s="9">
        <f t="shared" si="2"/>
        <v>293.394958</v>
      </c>
      <c r="J134" s="9">
        <f t="shared" si="3"/>
        <v>293.394958</v>
      </c>
      <c r="K134" s="9">
        <f t="shared" si="4"/>
        <v>349.14</v>
      </c>
      <c r="L134" s="6" t="s">
        <v>322</v>
      </c>
      <c r="M134" s="6" t="s">
        <v>31</v>
      </c>
      <c r="N134" s="8">
        <v>942.0</v>
      </c>
      <c r="O134" s="6" t="s">
        <v>36</v>
      </c>
      <c r="P134" s="6" t="s">
        <v>38</v>
      </c>
      <c r="Q134" s="6" t="s">
        <v>39</v>
      </c>
      <c r="R134" s="6" t="s">
        <v>41</v>
      </c>
      <c r="S134" s="6" t="s">
        <v>320</v>
      </c>
      <c r="T134" s="8" t="s">
        <v>323</v>
      </c>
      <c r="U134" s="6" t="s">
        <v>46</v>
      </c>
      <c r="V134" s="6" t="s">
        <v>48</v>
      </c>
      <c r="W134" s="6" t="s">
        <v>48</v>
      </c>
      <c r="X134" s="6" t="s">
        <v>51</v>
      </c>
      <c r="Y134" s="5"/>
      <c r="Z134" s="5"/>
      <c r="AA134" s="5"/>
      <c r="AB134" s="5"/>
      <c r="AC134" s="5"/>
      <c r="AD134" s="5"/>
    </row>
    <row r="135" ht="15.75" customHeight="1">
      <c r="A135" s="6" t="s">
        <v>315</v>
      </c>
      <c r="B135" s="6" t="s">
        <v>316</v>
      </c>
      <c r="C135" s="6" t="s">
        <v>53</v>
      </c>
      <c r="D135" s="6" t="s">
        <v>54</v>
      </c>
      <c r="E135" s="6" t="s">
        <v>317</v>
      </c>
      <c r="F135" s="6" t="s">
        <v>318</v>
      </c>
      <c r="G135" s="7">
        <v>306.23999999999995</v>
      </c>
      <c r="H135" s="9">
        <f t="shared" si="1"/>
        <v>252.9936975</v>
      </c>
      <c r="I135" s="9">
        <f t="shared" si="2"/>
        <v>560.487395</v>
      </c>
      <c r="J135" s="9">
        <f t="shared" si="3"/>
        <v>560.487395</v>
      </c>
      <c r="K135" s="9">
        <f t="shared" si="4"/>
        <v>666.98</v>
      </c>
      <c r="L135" s="6" t="s">
        <v>219</v>
      </c>
      <c r="M135" s="6" t="s">
        <v>84</v>
      </c>
      <c r="N135" s="8">
        <v>47.0</v>
      </c>
      <c r="O135" s="6" t="s">
        <v>85</v>
      </c>
      <c r="P135" s="6" t="s">
        <v>86</v>
      </c>
      <c r="Q135" s="6" t="s">
        <v>57</v>
      </c>
      <c r="R135" s="6" t="s">
        <v>58</v>
      </c>
      <c r="S135" s="6" t="s">
        <v>320</v>
      </c>
      <c r="T135" s="8" t="s">
        <v>324</v>
      </c>
      <c r="U135" s="6" t="s">
        <v>46</v>
      </c>
      <c r="V135" s="6" t="s">
        <v>48</v>
      </c>
      <c r="W135" s="6" t="s">
        <v>48</v>
      </c>
      <c r="X135" s="6" t="s">
        <v>88</v>
      </c>
      <c r="Y135" s="5"/>
      <c r="Z135" s="5"/>
      <c r="AA135" s="5"/>
      <c r="AB135" s="5"/>
      <c r="AC135" s="5"/>
      <c r="AD135" s="5"/>
    </row>
    <row r="136" ht="15.75" customHeight="1">
      <c r="A136" s="6" t="s">
        <v>315</v>
      </c>
      <c r="B136" s="6" t="s">
        <v>316</v>
      </c>
      <c r="C136" s="6" t="s">
        <v>72</v>
      </c>
      <c r="D136" s="6" t="s">
        <v>54</v>
      </c>
      <c r="E136" s="6" t="s">
        <v>317</v>
      </c>
      <c r="F136" s="6" t="s">
        <v>318</v>
      </c>
      <c r="G136" s="7">
        <v>109.03999999999999</v>
      </c>
      <c r="H136" s="9">
        <f t="shared" si="1"/>
        <v>87.27941176</v>
      </c>
      <c r="I136" s="9">
        <f t="shared" si="2"/>
        <v>229.0588235</v>
      </c>
      <c r="J136" s="9">
        <f t="shared" si="3"/>
        <v>229.0588235</v>
      </c>
      <c r="K136" s="9">
        <f t="shared" si="4"/>
        <v>272.58</v>
      </c>
      <c r="L136" s="6" t="s">
        <v>325</v>
      </c>
      <c r="M136" s="6" t="s">
        <v>48</v>
      </c>
      <c r="N136" s="8">
        <v>324.0</v>
      </c>
      <c r="O136" s="6" t="s">
        <v>74</v>
      </c>
      <c r="P136" s="6" t="s">
        <v>75</v>
      </c>
      <c r="Q136" s="6" t="s">
        <v>76</v>
      </c>
      <c r="R136" s="6" t="s">
        <v>58</v>
      </c>
      <c r="S136" s="6" t="s">
        <v>320</v>
      </c>
      <c r="T136" s="8" t="s">
        <v>324</v>
      </c>
      <c r="U136" s="6" t="s">
        <v>46</v>
      </c>
      <c r="V136" s="6" t="s">
        <v>48</v>
      </c>
      <c r="W136" s="6" t="s">
        <v>48</v>
      </c>
      <c r="X136" s="6" t="s">
        <v>77</v>
      </c>
      <c r="Y136" s="5"/>
      <c r="Z136" s="5"/>
      <c r="AA136" s="5"/>
      <c r="AB136" s="5"/>
      <c r="AC136" s="5"/>
      <c r="AD136" s="5"/>
    </row>
    <row r="137" ht="15.75" customHeight="1">
      <c r="A137" s="6" t="s">
        <v>315</v>
      </c>
      <c r="B137" s="6" t="s">
        <v>326</v>
      </c>
      <c r="C137" s="6" t="s">
        <v>26</v>
      </c>
      <c r="D137" s="6" t="s">
        <v>27</v>
      </c>
      <c r="E137" s="6" t="s">
        <v>327</v>
      </c>
      <c r="F137" s="6" t="s">
        <v>328</v>
      </c>
      <c r="G137" s="7">
        <v>147.32</v>
      </c>
      <c r="H137" s="9">
        <f t="shared" si="1"/>
        <v>119.447479</v>
      </c>
      <c r="I137" s="9">
        <f t="shared" si="2"/>
        <v>293.394958</v>
      </c>
      <c r="J137" s="9">
        <f t="shared" si="3"/>
        <v>293.394958</v>
      </c>
      <c r="K137" s="9">
        <f t="shared" si="4"/>
        <v>349.14</v>
      </c>
      <c r="L137" s="6" t="s">
        <v>329</v>
      </c>
      <c r="M137" s="6" t="s">
        <v>31</v>
      </c>
      <c r="N137" s="8">
        <v>941.0</v>
      </c>
      <c r="O137" s="6" t="s">
        <v>36</v>
      </c>
      <c r="P137" s="6" t="s">
        <v>38</v>
      </c>
      <c r="Q137" s="6" t="s">
        <v>39</v>
      </c>
      <c r="R137" s="6" t="s">
        <v>41</v>
      </c>
      <c r="S137" s="6" t="s">
        <v>330</v>
      </c>
      <c r="T137" s="8" t="s">
        <v>331</v>
      </c>
      <c r="U137" s="6" t="s">
        <v>46</v>
      </c>
      <c r="V137" s="6" t="s">
        <v>48</v>
      </c>
      <c r="W137" s="6" t="s">
        <v>48</v>
      </c>
      <c r="X137" s="6" t="s">
        <v>51</v>
      </c>
      <c r="Y137" s="5"/>
      <c r="Z137" s="5"/>
      <c r="AA137" s="5"/>
      <c r="AB137" s="5"/>
      <c r="AC137" s="5"/>
      <c r="AD137" s="5"/>
    </row>
    <row r="138" ht="15.75" customHeight="1">
      <c r="A138" s="6" t="s">
        <v>315</v>
      </c>
      <c r="B138" s="6" t="s">
        <v>326</v>
      </c>
      <c r="C138" s="6" t="s">
        <v>53</v>
      </c>
      <c r="D138" s="6" t="s">
        <v>54</v>
      </c>
      <c r="E138" s="6" t="s">
        <v>327</v>
      </c>
      <c r="F138" s="6" t="s">
        <v>328</v>
      </c>
      <c r="G138" s="7">
        <v>306.23999999999995</v>
      </c>
      <c r="H138" s="9">
        <f t="shared" si="1"/>
        <v>252.9936975</v>
      </c>
      <c r="I138" s="9">
        <f t="shared" si="2"/>
        <v>560.487395</v>
      </c>
      <c r="J138" s="9">
        <f t="shared" si="3"/>
        <v>560.487395</v>
      </c>
      <c r="K138" s="9">
        <f t="shared" si="4"/>
        <v>666.98</v>
      </c>
      <c r="L138" s="6" t="s">
        <v>83</v>
      </c>
      <c r="M138" s="6" t="s">
        <v>84</v>
      </c>
      <c r="N138" s="8">
        <v>1074.0</v>
      </c>
      <c r="O138" s="6" t="s">
        <v>85</v>
      </c>
      <c r="P138" s="6" t="s">
        <v>86</v>
      </c>
      <c r="Q138" s="6" t="s">
        <v>57</v>
      </c>
      <c r="R138" s="6" t="s">
        <v>58</v>
      </c>
      <c r="S138" s="6" t="s">
        <v>330</v>
      </c>
      <c r="T138" s="8" t="s">
        <v>332</v>
      </c>
      <c r="U138" s="6" t="s">
        <v>46</v>
      </c>
      <c r="V138" s="6" t="s">
        <v>48</v>
      </c>
      <c r="W138" s="6" t="s">
        <v>48</v>
      </c>
      <c r="X138" s="6" t="s">
        <v>88</v>
      </c>
      <c r="Y138" s="5"/>
      <c r="Z138" s="5"/>
      <c r="AA138" s="5"/>
      <c r="AB138" s="5"/>
      <c r="AC138" s="5"/>
      <c r="AD138" s="5"/>
    </row>
    <row r="139" ht="15.75" customHeight="1">
      <c r="A139" s="6" t="s">
        <v>315</v>
      </c>
      <c r="B139" s="6" t="s">
        <v>333</v>
      </c>
      <c r="C139" s="6" t="s">
        <v>26</v>
      </c>
      <c r="D139" s="6" t="s">
        <v>27</v>
      </c>
      <c r="E139" s="6" t="s">
        <v>334</v>
      </c>
      <c r="F139" s="6" t="s">
        <v>335</v>
      </c>
      <c r="G139" s="7">
        <v>147.32</v>
      </c>
      <c r="H139" s="9">
        <f t="shared" si="1"/>
        <v>119.447479</v>
      </c>
      <c r="I139" s="9">
        <f t="shared" si="2"/>
        <v>293.394958</v>
      </c>
      <c r="J139" s="9">
        <f t="shared" si="3"/>
        <v>293.394958</v>
      </c>
      <c r="K139" s="9">
        <f t="shared" si="4"/>
        <v>349.14</v>
      </c>
      <c r="L139" s="6" t="s">
        <v>280</v>
      </c>
      <c r="M139" s="6" t="s">
        <v>31</v>
      </c>
      <c r="N139" s="8">
        <v>806.0</v>
      </c>
      <c r="O139" s="6" t="s">
        <v>36</v>
      </c>
      <c r="P139" s="6" t="s">
        <v>38</v>
      </c>
      <c r="Q139" s="6" t="s">
        <v>39</v>
      </c>
      <c r="R139" s="6" t="s">
        <v>41</v>
      </c>
      <c r="S139" s="6" t="s">
        <v>336</v>
      </c>
      <c r="T139" s="8" t="s">
        <v>337</v>
      </c>
      <c r="U139" s="6" t="s">
        <v>46</v>
      </c>
      <c r="V139" s="6" t="s">
        <v>48</v>
      </c>
      <c r="W139" s="6" t="s">
        <v>48</v>
      </c>
      <c r="X139" s="6" t="s">
        <v>51</v>
      </c>
      <c r="Y139" s="5"/>
      <c r="Z139" s="5"/>
      <c r="AA139" s="5"/>
      <c r="AB139" s="5"/>
      <c r="AC139" s="5"/>
      <c r="AD139" s="5"/>
    </row>
    <row r="140" ht="15.75" customHeight="1">
      <c r="A140" s="6" t="s">
        <v>315</v>
      </c>
      <c r="B140" s="6" t="s">
        <v>333</v>
      </c>
      <c r="C140" s="6" t="s">
        <v>53</v>
      </c>
      <c r="D140" s="6" t="s">
        <v>54</v>
      </c>
      <c r="E140" s="6" t="s">
        <v>334</v>
      </c>
      <c r="F140" s="6" t="s">
        <v>335</v>
      </c>
      <c r="G140" s="7">
        <v>306.23999999999995</v>
      </c>
      <c r="H140" s="9">
        <f t="shared" si="1"/>
        <v>252.9936975</v>
      </c>
      <c r="I140" s="9">
        <f t="shared" si="2"/>
        <v>560.487395</v>
      </c>
      <c r="J140" s="9">
        <f t="shared" si="3"/>
        <v>560.487395</v>
      </c>
      <c r="K140" s="9">
        <f t="shared" si="4"/>
        <v>666.98</v>
      </c>
      <c r="L140" s="6" t="s">
        <v>338</v>
      </c>
      <c r="M140" s="6" t="s">
        <v>84</v>
      </c>
      <c r="N140" s="8">
        <v>1106.0</v>
      </c>
      <c r="O140" s="6" t="s">
        <v>85</v>
      </c>
      <c r="P140" s="6" t="s">
        <v>86</v>
      </c>
      <c r="Q140" s="6" t="s">
        <v>57</v>
      </c>
      <c r="R140" s="6" t="s">
        <v>58</v>
      </c>
      <c r="S140" s="6" t="s">
        <v>336</v>
      </c>
      <c r="T140" s="8" t="s">
        <v>339</v>
      </c>
      <c r="U140" s="6" t="s">
        <v>46</v>
      </c>
      <c r="V140" s="6" t="s">
        <v>48</v>
      </c>
      <c r="W140" s="6" t="s">
        <v>48</v>
      </c>
      <c r="X140" s="6" t="s">
        <v>88</v>
      </c>
      <c r="Y140" s="5"/>
      <c r="Z140" s="5"/>
      <c r="AA140" s="5"/>
      <c r="AB140" s="5"/>
      <c r="AC140" s="5"/>
      <c r="AD140" s="5"/>
    </row>
    <row r="141" ht="15.75" customHeight="1">
      <c r="A141" s="6" t="s">
        <v>315</v>
      </c>
      <c r="B141" s="6" t="s">
        <v>340</v>
      </c>
      <c r="C141" s="6" t="s">
        <v>26</v>
      </c>
      <c r="D141" s="6" t="s">
        <v>27</v>
      </c>
      <c r="E141" s="6" t="s">
        <v>341</v>
      </c>
      <c r="F141" s="6" t="s">
        <v>342</v>
      </c>
      <c r="G141" s="7">
        <v>150.79999999999998</v>
      </c>
      <c r="H141" s="9">
        <f t="shared" si="1"/>
        <v>122.3718487</v>
      </c>
      <c r="I141" s="9">
        <f t="shared" si="2"/>
        <v>299.2436975</v>
      </c>
      <c r="J141" s="9">
        <f t="shared" si="3"/>
        <v>299.2436975</v>
      </c>
      <c r="K141" s="9">
        <f t="shared" si="4"/>
        <v>356.1</v>
      </c>
      <c r="L141" s="6" t="s">
        <v>343</v>
      </c>
      <c r="M141" s="6" t="s">
        <v>31</v>
      </c>
      <c r="N141" s="8">
        <v>347.0</v>
      </c>
      <c r="O141" s="6" t="s">
        <v>36</v>
      </c>
      <c r="P141" s="6" t="s">
        <v>38</v>
      </c>
      <c r="Q141" s="6" t="s">
        <v>39</v>
      </c>
      <c r="R141" s="6" t="s">
        <v>41</v>
      </c>
      <c r="S141" s="6" t="s">
        <v>344</v>
      </c>
      <c r="T141" s="8" t="s">
        <v>345</v>
      </c>
      <c r="U141" s="6" t="s">
        <v>46</v>
      </c>
      <c r="V141" s="6" t="s">
        <v>48</v>
      </c>
      <c r="W141" s="6" t="s">
        <v>48</v>
      </c>
      <c r="X141" s="6" t="s">
        <v>51</v>
      </c>
      <c r="Y141" s="5"/>
      <c r="Z141" s="5"/>
      <c r="AA141" s="5"/>
      <c r="AB141" s="5"/>
      <c r="AC141" s="5"/>
      <c r="AD141" s="5"/>
    </row>
    <row r="142" ht="15.75" customHeight="1">
      <c r="A142" s="6" t="s">
        <v>315</v>
      </c>
      <c r="B142" s="6" t="s">
        <v>340</v>
      </c>
      <c r="C142" s="6" t="s">
        <v>53</v>
      </c>
      <c r="D142" s="6" t="s">
        <v>54</v>
      </c>
      <c r="E142" s="6" t="s">
        <v>341</v>
      </c>
      <c r="F142" s="6" t="s">
        <v>342</v>
      </c>
      <c r="G142" s="7">
        <v>266.79999999999995</v>
      </c>
      <c r="H142" s="9">
        <f t="shared" si="1"/>
        <v>219.8508403</v>
      </c>
      <c r="I142" s="9">
        <f t="shared" si="2"/>
        <v>494.2016807</v>
      </c>
      <c r="J142" s="9">
        <f t="shared" si="3"/>
        <v>494.2016807</v>
      </c>
      <c r="K142" s="9">
        <f t="shared" si="4"/>
        <v>588.1</v>
      </c>
      <c r="L142" s="6" t="s">
        <v>197</v>
      </c>
      <c r="M142" s="6" t="s">
        <v>84</v>
      </c>
      <c r="N142" s="8">
        <v>981.0</v>
      </c>
      <c r="O142" s="6" t="s">
        <v>85</v>
      </c>
      <c r="P142" s="6" t="s">
        <v>86</v>
      </c>
      <c r="Q142" s="6" t="s">
        <v>57</v>
      </c>
      <c r="R142" s="6" t="s">
        <v>58</v>
      </c>
      <c r="S142" s="6" t="s">
        <v>344</v>
      </c>
      <c r="T142" s="8" t="s">
        <v>346</v>
      </c>
      <c r="U142" s="6" t="s">
        <v>46</v>
      </c>
      <c r="V142" s="6" t="s">
        <v>48</v>
      </c>
      <c r="W142" s="6" t="s">
        <v>48</v>
      </c>
      <c r="X142" s="6" t="s">
        <v>88</v>
      </c>
      <c r="Y142" s="5"/>
      <c r="Z142" s="5"/>
      <c r="AA142" s="5"/>
      <c r="AB142" s="5"/>
      <c r="AC142" s="5"/>
      <c r="AD142" s="5"/>
    </row>
    <row r="143" ht="15.75" customHeight="1">
      <c r="A143" s="6" t="s">
        <v>347</v>
      </c>
      <c r="B143" s="6" t="s">
        <v>348</v>
      </c>
      <c r="C143" s="6" t="s">
        <v>26</v>
      </c>
      <c r="D143" s="6" t="s">
        <v>27</v>
      </c>
      <c r="E143" s="6" t="s">
        <v>349</v>
      </c>
      <c r="F143" s="6" t="s">
        <v>350</v>
      </c>
      <c r="G143" s="7">
        <v>153.11999999999998</v>
      </c>
      <c r="H143" s="9">
        <f t="shared" si="1"/>
        <v>124.3214286</v>
      </c>
      <c r="I143" s="9">
        <f t="shared" si="2"/>
        <v>303.1428571</v>
      </c>
      <c r="J143" s="9">
        <f t="shared" si="3"/>
        <v>303.1428571</v>
      </c>
      <c r="K143" s="9">
        <f t="shared" si="4"/>
        <v>360.74</v>
      </c>
      <c r="L143" s="6" t="s">
        <v>300</v>
      </c>
      <c r="M143" s="6" t="s">
        <v>31</v>
      </c>
      <c r="N143" s="8">
        <v>1289.0</v>
      </c>
      <c r="O143" s="6" t="s">
        <v>36</v>
      </c>
      <c r="P143" s="6" t="s">
        <v>38</v>
      </c>
      <c r="Q143" s="6" t="s">
        <v>39</v>
      </c>
      <c r="R143" s="6" t="s">
        <v>41</v>
      </c>
      <c r="S143" s="6" t="s">
        <v>351</v>
      </c>
      <c r="T143" s="8" t="s">
        <v>352</v>
      </c>
      <c r="U143" s="6" t="s">
        <v>46</v>
      </c>
      <c r="V143" s="6" t="s">
        <v>48</v>
      </c>
      <c r="W143" s="6" t="s">
        <v>48</v>
      </c>
      <c r="X143" s="6" t="s">
        <v>51</v>
      </c>
      <c r="Y143" s="5"/>
      <c r="Z143" s="5"/>
      <c r="AA143" s="5"/>
      <c r="AB143" s="5"/>
      <c r="AC143" s="5"/>
      <c r="AD143" s="5"/>
    </row>
    <row r="144" ht="15.75" customHeight="1">
      <c r="A144" s="6" t="s">
        <v>347</v>
      </c>
      <c r="B144" s="6" t="s">
        <v>348</v>
      </c>
      <c r="C144" s="6" t="s">
        <v>53</v>
      </c>
      <c r="D144" s="6" t="s">
        <v>54</v>
      </c>
      <c r="E144" s="6" t="s">
        <v>349</v>
      </c>
      <c r="F144" s="6" t="s">
        <v>350</v>
      </c>
      <c r="G144" s="7">
        <v>331.76</v>
      </c>
      <c r="H144" s="9">
        <f t="shared" si="1"/>
        <v>274.4390756</v>
      </c>
      <c r="I144" s="9">
        <f t="shared" si="2"/>
        <v>603.3781513</v>
      </c>
      <c r="J144" s="9">
        <f t="shared" si="3"/>
        <v>603.3781513</v>
      </c>
      <c r="K144" s="9">
        <f t="shared" si="4"/>
        <v>718.02</v>
      </c>
      <c r="L144" s="6" t="s">
        <v>175</v>
      </c>
      <c r="M144" s="6" t="s">
        <v>84</v>
      </c>
      <c r="N144" s="8">
        <v>3368.0</v>
      </c>
      <c r="O144" s="6" t="s">
        <v>85</v>
      </c>
      <c r="P144" s="6" t="s">
        <v>86</v>
      </c>
      <c r="Q144" s="6" t="s">
        <v>57</v>
      </c>
      <c r="R144" s="6" t="s">
        <v>58</v>
      </c>
      <c r="S144" s="6" t="s">
        <v>351</v>
      </c>
      <c r="T144" s="8" t="s">
        <v>353</v>
      </c>
      <c r="U144" s="6" t="s">
        <v>46</v>
      </c>
      <c r="V144" s="6" t="s">
        <v>48</v>
      </c>
      <c r="W144" s="6" t="s">
        <v>48</v>
      </c>
      <c r="X144" s="6" t="s">
        <v>88</v>
      </c>
      <c r="Y144" s="5"/>
      <c r="Z144" s="5"/>
      <c r="AA144" s="5"/>
      <c r="AB144" s="5"/>
      <c r="AC144" s="5"/>
      <c r="AD144" s="5"/>
    </row>
    <row r="145" ht="15.75" customHeight="1">
      <c r="A145" s="6" t="s">
        <v>347</v>
      </c>
      <c r="B145" s="6" t="s">
        <v>354</v>
      </c>
      <c r="C145" s="6" t="s">
        <v>26</v>
      </c>
      <c r="D145" s="6" t="s">
        <v>27</v>
      </c>
      <c r="E145" s="6" t="s">
        <v>355</v>
      </c>
      <c r="F145" s="6" t="s">
        <v>356</v>
      </c>
      <c r="G145" s="7">
        <v>156.6</v>
      </c>
      <c r="H145" s="9">
        <f t="shared" si="1"/>
        <v>127.2457983</v>
      </c>
      <c r="I145" s="9">
        <f t="shared" si="2"/>
        <v>308.9915966</v>
      </c>
      <c r="J145" s="9">
        <f t="shared" si="3"/>
        <v>308.9915966</v>
      </c>
      <c r="K145" s="9">
        <f t="shared" si="4"/>
        <v>367.7</v>
      </c>
      <c r="L145" s="6" t="s">
        <v>64</v>
      </c>
      <c r="M145" s="6" t="s">
        <v>31</v>
      </c>
      <c r="N145" s="8">
        <v>1997.0</v>
      </c>
      <c r="O145" s="6" t="s">
        <v>36</v>
      </c>
      <c r="P145" s="6" t="s">
        <v>38</v>
      </c>
      <c r="Q145" s="6" t="s">
        <v>39</v>
      </c>
      <c r="R145" s="6" t="s">
        <v>41</v>
      </c>
      <c r="S145" s="6" t="s">
        <v>357</v>
      </c>
      <c r="T145" s="8" t="s">
        <v>358</v>
      </c>
      <c r="U145" s="6" t="s">
        <v>359</v>
      </c>
      <c r="V145" s="6" t="s">
        <v>48</v>
      </c>
      <c r="W145" s="6" t="s">
        <v>48</v>
      </c>
      <c r="X145" s="6" t="s">
        <v>51</v>
      </c>
      <c r="Y145" s="5"/>
      <c r="Z145" s="5"/>
      <c r="AA145" s="5"/>
      <c r="AB145" s="5"/>
      <c r="AC145" s="5"/>
      <c r="AD145" s="5"/>
    </row>
    <row r="146" ht="15.75" customHeight="1">
      <c r="A146" s="6" t="s">
        <v>347</v>
      </c>
      <c r="B146" s="6" t="s">
        <v>354</v>
      </c>
      <c r="C146" s="6" t="s">
        <v>53</v>
      </c>
      <c r="D146" s="6" t="s">
        <v>54</v>
      </c>
      <c r="E146" s="6" t="s">
        <v>355</v>
      </c>
      <c r="F146" s="6" t="s">
        <v>356</v>
      </c>
      <c r="G146" s="7">
        <v>348.0</v>
      </c>
      <c r="H146" s="9">
        <f t="shared" si="1"/>
        <v>288.0861345</v>
      </c>
      <c r="I146" s="9">
        <f t="shared" si="2"/>
        <v>630.6722689</v>
      </c>
      <c r="J146" s="9">
        <f t="shared" si="3"/>
        <v>630.6722689</v>
      </c>
      <c r="K146" s="9">
        <f t="shared" si="4"/>
        <v>750.5</v>
      </c>
      <c r="L146" s="6" t="s">
        <v>360</v>
      </c>
      <c r="M146" s="6" t="s">
        <v>84</v>
      </c>
      <c r="N146" s="8">
        <v>868.0</v>
      </c>
      <c r="O146" s="6" t="s">
        <v>85</v>
      </c>
      <c r="P146" s="6" t="s">
        <v>86</v>
      </c>
      <c r="Q146" s="6" t="s">
        <v>57</v>
      </c>
      <c r="R146" s="6" t="s">
        <v>58</v>
      </c>
      <c r="S146" s="6" t="s">
        <v>357</v>
      </c>
      <c r="T146" s="8" t="s">
        <v>361</v>
      </c>
      <c r="U146" s="6" t="s">
        <v>359</v>
      </c>
      <c r="V146" s="6" t="s">
        <v>48</v>
      </c>
      <c r="W146" s="6" t="s">
        <v>48</v>
      </c>
      <c r="X146" s="6" t="s">
        <v>88</v>
      </c>
      <c r="Y146" s="5"/>
      <c r="Z146" s="5"/>
      <c r="AA146" s="5"/>
      <c r="AB146" s="5"/>
      <c r="AC146" s="5"/>
      <c r="AD146" s="5"/>
    </row>
    <row r="147" ht="15.75" customHeight="1">
      <c r="A147" s="6" t="s">
        <v>347</v>
      </c>
      <c r="B147" s="6" t="s">
        <v>362</v>
      </c>
      <c r="C147" s="6" t="s">
        <v>26</v>
      </c>
      <c r="D147" s="6" t="s">
        <v>27</v>
      </c>
      <c r="E147" s="6" t="s">
        <v>363</v>
      </c>
      <c r="F147" s="6" t="s">
        <v>364</v>
      </c>
      <c r="G147" s="7">
        <v>156.6</v>
      </c>
      <c r="H147" s="9">
        <f t="shared" si="1"/>
        <v>127.2457983</v>
      </c>
      <c r="I147" s="9">
        <f t="shared" si="2"/>
        <v>308.9915966</v>
      </c>
      <c r="J147" s="9">
        <f t="shared" si="3"/>
        <v>308.9915966</v>
      </c>
      <c r="K147" s="9">
        <f t="shared" si="4"/>
        <v>367.7</v>
      </c>
      <c r="L147" s="6" t="s">
        <v>83</v>
      </c>
      <c r="M147" s="6" t="s">
        <v>31</v>
      </c>
      <c r="N147" s="8">
        <v>12473.0</v>
      </c>
      <c r="O147" s="6" t="s">
        <v>36</v>
      </c>
      <c r="P147" s="6" t="s">
        <v>38</v>
      </c>
      <c r="Q147" s="6" t="s">
        <v>39</v>
      </c>
      <c r="R147" s="6" t="s">
        <v>41</v>
      </c>
      <c r="S147" s="6" t="s">
        <v>365</v>
      </c>
      <c r="T147" s="8" t="s">
        <v>366</v>
      </c>
      <c r="U147" s="6" t="s">
        <v>359</v>
      </c>
      <c r="V147" s="6" t="s">
        <v>48</v>
      </c>
      <c r="W147" s="6" t="s">
        <v>48</v>
      </c>
      <c r="X147" s="6" t="s">
        <v>51</v>
      </c>
      <c r="Y147" s="5"/>
      <c r="Z147" s="5"/>
      <c r="AA147" s="5"/>
      <c r="AB147" s="5"/>
      <c r="AC147" s="5"/>
      <c r="AD147" s="5"/>
    </row>
    <row r="148" ht="15.75" customHeight="1">
      <c r="A148" s="6" t="s">
        <v>347</v>
      </c>
      <c r="B148" s="6" t="s">
        <v>362</v>
      </c>
      <c r="C148" s="6" t="s">
        <v>53</v>
      </c>
      <c r="D148" s="6" t="s">
        <v>54</v>
      </c>
      <c r="E148" s="6" t="s">
        <v>363</v>
      </c>
      <c r="F148" s="6" t="s">
        <v>364</v>
      </c>
      <c r="G148" s="7">
        <v>348.0</v>
      </c>
      <c r="H148" s="9">
        <f t="shared" si="1"/>
        <v>288.0861345</v>
      </c>
      <c r="I148" s="9">
        <f t="shared" si="2"/>
        <v>630.6722689</v>
      </c>
      <c r="J148" s="9">
        <f t="shared" si="3"/>
        <v>630.6722689</v>
      </c>
      <c r="K148" s="9">
        <f t="shared" si="4"/>
        <v>750.5</v>
      </c>
      <c r="L148" s="6" t="s">
        <v>367</v>
      </c>
      <c r="M148" s="6" t="s">
        <v>84</v>
      </c>
      <c r="N148" s="8">
        <v>872.0</v>
      </c>
      <c r="O148" s="6" t="s">
        <v>85</v>
      </c>
      <c r="P148" s="6" t="s">
        <v>86</v>
      </c>
      <c r="Q148" s="6" t="s">
        <v>57</v>
      </c>
      <c r="R148" s="6" t="s">
        <v>58</v>
      </c>
      <c r="S148" s="6" t="s">
        <v>365</v>
      </c>
      <c r="T148" s="8" t="s">
        <v>368</v>
      </c>
      <c r="U148" s="6" t="s">
        <v>359</v>
      </c>
      <c r="V148" s="6" t="s">
        <v>48</v>
      </c>
      <c r="W148" s="6" t="s">
        <v>48</v>
      </c>
      <c r="X148" s="6" t="s">
        <v>88</v>
      </c>
      <c r="Y148" s="5"/>
      <c r="Z148" s="5"/>
      <c r="AA148" s="5"/>
      <c r="AB148" s="5"/>
      <c r="AC148" s="5"/>
      <c r="AD148" s="5"/>
    </row>
    <row r="149" ht="15.75" customHeight="1">
      <c r="A149" s="6" t="s">
        <v>347</v>
      </c>
      <c r="B149" s="6" t="s">
        <v>369</v>
      </c>
      <c r="C149" s="6" t="s">
        <v>26</v>
      </c>
      <c r="D149" s="6" t="s">
        <v>63</v>
      </c>
      <c r="E149" s="6" t="s">
        <v>370</v>
      </c>
      <c r="F149" s="6" t="s">
        <v>371</v>
      </c>
      <c r="G149" s="7">
        <v>348.0</v>
      </c>
      <c r="H149" s="9">
        <f t="shared" si="1"/>
        <v>288.0861345</v>
      </c>
      <c r="I149" s="9">
        <f t="shared" si="2"/>
        <v>630.6722689</v>
      </c>
      <c r="J149" s="9">
        <f t="shared" si="3"/>
        <v>630.6722689</v>
      </c>
      <c r="K149" s="9">
        <f t="shared" si="4"/>
        <v>750.5</v>
      </c>
      <c r="L149" s="6" t="s">
        <v>83</v>
      </c>
      <c r="M149" s="6" t="s">
        <v>37</v>
      </c>
      <c r="N149" s="8">
        <v>15777.0</v>
      </c>
      <c r="O149" s="6" t="s">
        <v>40</v>
      </c>
      <c r="P149" s="6" t="s">
        <v>42</v>
      </c>
      <c r="Q149" s="6" t="s">
        <v>44</v>
      </c>
      <c r="R149" s="6" t="s">
        <v>41</v>
      </c>
      <c r="S149" s="6" t="s">
        <v>173</v>
      </c>
      <c r="T149" s="8" t="s">
        <v>372</v>
      </c>
      <c r="U149" s="6" t="s">
        <v>46</v>
      </c>
      <c r="V149" s="6" t="s">
        <v>48</v>
      </c>
      <c r="W149" s="6" t="s">
        <v>48</v>
      </c>
      <c r="X149" s="6" t="s">
        <v>52</v>
      </c>
      <c r="Y149" s="5"/>
      <c r="Z149" s="5"/>
      <c r="AA149" s="5"/>
      <c r="AB149" s="5"/>
      <c r="AC149" s="5"/>
      <c r="AD149" s="5"/>
    </row>
    <row r="150" ht="15.75" customHeight="1">
      <c r="A150" s="6" t="s">
        <v>347</v>
      </c>
      <c r="B150" s="6" t="s">
        <v>369</v>
      </c>
      <c r="C150" s="6" t="s">
        <v>62</v>
      </c>
      <c r="D150" s="6" t="s">
        <v>63</v>
      </c>
      <c r="E150" s="6" t="s">
        <v>370</v>
      </c>
      <c r="F150" s="6" t="s">
        <v>371</v>
      </c>
      <c r="G150" s="7">
        <v>126.44</v>
      </c>
      <c r="H150" s="9">
        <f t="shared" si="1"/>
        <v>101.9012605</v>
      </c>
      <c r="I150" s="9">
        <f t="shared" si="2"/>
        <v>258.302521</v>
      </c>
      <c r="J150" s="9">
        <f t="shared" si="3"/>
        <v>258.302521</v>
      </c>
      <c r="K150" s="9">
        <f t="shared" si="4"/>
        <v>307.38</v>
      </c>
      <c r="L150" s="6" t="s">
        <v>83</v>
      </c>
      <c r="M150" s="6" t="s">
        <v>48</v>
      </c>
      <c r="N150" s="8">
        <v>1919.0</v>
      </c>
      <c r="O150" s="6" t="s">
        <v>62</v>
      </c>
      <c r="P150" s="6" t="s">
        <v>69</v>
      </c>
      <c r="Q150" s="6" t="s">
        <v>70</v>
      </c>
      <c r="R150" s="6" t="s">
        <v>58</v>
      </c>
      <c r="S150" s="6" t="s">
        <v>173</v>
      </c>
      <c r="T150" s="8" t="s">
        <v>373</v>
      </c>
      <c r="U150" s="6" t="s">
        <v>46</v>
      </c>
      <c r="V150" s="6" t="s">
        <v>48</v>
      </c>
      <c r="W150" s="6" t="s">
        <v>48</v>
      </c>
      <c r="X150" s="6" t="s">
        <v>52</v>
      </c>
      <c r="Y150" s="5"/>
      <c r="Z150" s="5"/>
      <c r="AA150" s="5"/>
      <c r="AB150" s="5"/>
      <c r="AC150" s="5"/>
      <c r="AD150" s="5"/>
    </row>
    <row r="151" ht="15.75" customHeight="1">
      <c r="A151" s="6" t="s">
        <v>347</v>
      </c>
      <c r="B151" s="6" t="s">
        <v>369</v>
      </c>
      <c r="C151" s="6" t="s">
        <v>374</v>
      </c>
      <c r="D151" s="6" t="s">
        <v>63</v>
      </c>
      <c r="E151" s="6" t="s">
        <v>370</v>
      </c>
      <c r="F151" s="6" t="s">
        <v>371</v>
      </c>
      <c r="G151" s="7">
        <v>126.44</v>
      </c>
      <c r="H151" s="9">
        <f t="shared" si="1"/>
        <v>101.9012605</v>
      </c>
      <c r="I151" s="9">
        <f t="shared" si="2"/>
        <v>258.302521</v>
      </c>
      <c r="J151" s="9">
        <f t="shared" si="3"/>
        <v>258.302521</v>
      </c>
      <c r="K151" s="9">
        <f t="shared" si="4"/>
        <v>307.38</v>
      </c>
      <c r="L151" s="6" t="s">
        <v>83</v>
      </c>
      <c r="M151" s="6" t="s">
        <v>48</v>
      </c>
      <c r="N151" s="8">
        <v>15596.0</v>
      </c>
      <c r="O151" s="6" t="s">
        <v>375</v>
      </c>
      <c r="P151" s="6" t="s">
        <v>376</v>
      </c>
      <c r="Q151" s="6" t="s">
        <v>377</v>
      </c>
      <c r="R151" s="6" t="s">
        <v>58</v>
      </c>
      <c r="S151" s="6" t="s">
        <v>173</v>
      </c>
      <c r="T151" s="8" t="s">
        <v>373</v>
      </c>
      <c r="U151" s="6" t="s">
        <v>46</v>
      </c>
      <c r="V151" s="6" t="s">
        <v>48</v>
      </c>
      <c r="W151" s="6" t="s">
        <v>48</v>
      </c>
      <c r="X151" s="6" t="s">
        <v>77</v>
      </c>
      <c r="Y151" s="5"/>
      <c r="Z151" s="5"/>
      <c r="AA151" s="5"/>
      <c r="AB151" s="5"/>
      <c r="AC151" s="5"/>
      <c r="AD151" s="5"/>
    </row>
    <row r="152" ht="15.75" customHeight="1">
      <c r="A152" s="6" t="s">
        <v>347</v>
      </c>
      <c r="B152" s="6" t="s">
        <v>378</v>
      </c>
      <c r="C152" s="6" t="s">
        <v>26</v>
      </c>
      <c r="D152" s="6" t="s">
        <v>63</v>
      </c>
      <c r="E152" s="6" t="s">
        <v>379</v>
      </c>
      <c r="F152" s="6" t="s">
        <v>380</v>
      </c>
      <c r="G152" s="7">
        <v>348.0</v>
      </c>
      <c r="H152" s="9">
        <f t="shared" si="1"/>
        <v>288.0861345</v>
      </c>
      <c r="I152" s="9">
        <f t="shared" si="2"/>
        <v>630.6722689</v>
      </c>
      <c r="J152" s="9">
        <f t="shared" si="3"/>
        <v>630.6722689</v>
      </c>
      <c r="K152" s="9">
        <f t="shared" si="4"/>
        <v>750.5</v>
      </c>
      <c r="L152" s="6" t="s">
        <v>83</v>
      </c>
      <c r="M152" s="6" t="s">
        <v>37</v>
      </c>
      <c r="N152" s="8">
        <v>15778.0</v>
      </c>
      <c r="O152" s="6" t="s">
        <v>40</v>
      </c>
      <c r="P152" s="6" t="s">
        <v>42</v>
      </c>
      <c r="Q152" s="6" t="s">
        <v>44</v>
      </c>
      <c r="R152" s="6" t="s">
        <v>41</v>
      </c>
      <c r="S152" s="6" t="s">
        <v>381</v>
      </c>
      <c r="T152" s="8" t="s">
        <v>382</v>
      </c>
      <c r="U152" s="6" t="s">
        <v>46</v>
      </c>
      <c r="V152" s="6" t="s">
        <v>48</v>
      </c>
      <c r="W152" s="6" t="s">
        <v>48</v>
      </c>
      <c r="X152" s="6" t="s">
        <v>52</v>
      </c>
      <c r="Y152" s="5"/>
      <c r="Z152" s="5"/>
      <c r="AA152" s="5"/>
      <c r="AB152" s="5"/>
      <c r="AC152" s="5"/>
      <c r="AD152" s="5"/>
    </row>
    <row r="153" ht="15.75" customHeight="1">
      <c r="A153" s="6" t="s">
        <v>347</v>
      </c>
      <c r="B153" s="6" t="s">
        <v>378</v>
      </c>
      <c r="C153" s="6" t="s">
        <v>62</v>
      </c>
      <c r="D153" s="6" t="s">
        <v>63</v>
      </c>
      <c r="E153" s="6" t="s">
        <v>379</v>
      </c>
      <c r="F153" s="6" t="s">
        <v>380</v>
      </c>
      <c r="G153" s="7">
        <v>126.44</v>
      </c>
      <c r="H153" s="9">
        <f t="shared" si="1"/>
        <v>101.9012605</v>
      </c>
      <c r="I153" s="9">
        <f t="shared" si="2"/>
        <v>258.302521</v>
      </c>
      <c r="J153" s="9">
        <f t="shared" si="3"/>
        <v>258.302521</v>
      </c>
      <c r="K153" s="9">
        <f t="shared" si="4"/>
        <v>307.38</v>
      </c>
      <c r="L153" s="6" t="s">
        <v>83</v>
      </c>
      <c r="M153" s="6" t="s">
        <v>48</v>
      </c>
      <c r="N153" s="8">
        <v>7390.0</v>
      </c>
      <c r="O153" s="6" t="s">
        <v>62</v>
      </c>
      <c r="P153" s="6" t="s">
        <v>65</v>
      </c>
      <c r="Q153" s="6" t="s">
        <v>66</v>
      </c>
      <c r="R153" s="6" t="s">
        <v>58</v>
      </c>
      <c r="S153" s="6" t="s">
        <v>381</v>
      </c>
      <c r="T153" s="8" t="s">
        <v>383</v>
      </c>
      <c r="U153" s="6" t="s">
        <v>46</v>
      </c>
      <c r="V153" s="6" t="s">
        <v>48</v>
      </c>
      <c r="W153" s="6" t="s">
        <v>48</v>
      </c>
      <c r="X153" s="6" t="s">
        <v>52</v>
      </c>
      <c r="Y153" s="5"/>
      <c r="Z153" s="5"/>
      <c r="AA153" s="5"/>
      <c r="AB153" s="5"/>
      <c r="AC153" s="5"/>
      <c r="AD153" s="5"/>
    </row>
    <row r="154" ht="15.75" customHeight="1">
      <c r="A154" s="6" t="s">
        <v>347</v>
      </c>
      <c r="B154" s="6" t="s">
        <v>384</v>
      </c>
      <c r="C154" s="6" t="s">
        <v>26</v>
      </c>
      <c r="D154" s="6" t="s">
        <v>63</v>
      </c>
      <c r="E154" s="6" t="s">
        <v>385</v>
      </c>
      <c r="F154" s="6" t="s">
        <v>386</v>
      </c>
      <c r="G154" s="7">
        <v>348.0</v>
      </c>
      <c r="H154" s="9">
        <f t="shared" si="1"/>
        <v>288.0861345</v>
      </c>
      <c r="I154" s="9">
        <f t="shared" si="2"/>
        <v>630.6722689</v>
      </c>
      <c r="J154" s="9">
        <f t="shared" si="3"/>
        <v>630.6722689</v>
      </c>
      <c r="K154" s="9">
        <f t="shared" si="4"/>
        <v>750.5</v>
      </c>
      <c r="L154" s="6" t="s">
        <v>83</v>
      </c>
      <c r="M154" s="6" t="s">
        <v>37</v>
      </c>
      <c r="N154" s="8">
        <v>15756.0</v>
      </c>
      <c r="O154" s="6" t="s">
        <v>40</v>
      </c>
      <c r="P154" s="6" t="s">
        <v>42</v>
      </c>
      <c r="Q154" s="6" t="s">
        <v>44</v>
      </c>
      <c r="R154" s="6" t="s">
        <v>41</v>
      </c>
      <c r="S154" s="6" t="s">
        <v>387</v>
      </c>
      <c r="T154" s="8" t="s">
        <v>388</v>
      </c>
      <c r="U154" s="6" t="s">
        <v>46</v>
      </c>
      <c r="V154" s="6" t="s">
        <v>48</v>
      </c>
      <c r="W154" s="6" t="s">
        <v>48</v>
      </c>
      <c r="X154" s="6" t="s">
        <v>52</v>
      </c>
      <c r="Y154" s="5"/>
      <c r="Z154" s="5"/>
      <c r="AA154" s="5"/>
      <c r="AB154" s="5"/>
      <c r="AC154" s="5"/>
      <c r="AD154" s="5"/>
    </row>
    <row r="155" ht="15.75" customHeight="1">
      <c r="A155" s="6" t="s">
        <v>347</v>
      </c>
      <c r="B155" s="6" t="s">
        <v>384</v>
      </c>
      <c r="C155" s="6" t="s">
        <v>62</v>
      </c>
      <c r="D155" s="6" t="s">
        <v>63</v>
      </c>
      <c r="E155" s="6" t="s">
        <v>385</v>
      </c>
      <c r="F155" s="6" t="s">
        <v>386</v>
      </c>
      <c r="G155" s="7">
        <v>126.44</v>
      </c>
      <c r="H155" s="9">
        <f t="shared" si="1"/>
        <v>101.9012605</v>
      </c>
      <c r="I155" s="9">
        <f t="shared" si="2"/>
        <v>258.302521</v>
      </c>
      <c r="J155" s="9">
        <f t="shared" si="3"/>
        <v>258.302521</v>
      </c>
      <c r="K155" s="9">
        <f t="shared" si="4"/>
        <v>307.38</v>
      </c>
      <c r="L155" s="6" t="s">
        <v>219</v>
      </c>
      <c r="M155" s="6" t="s">
        <v>48</v>
      </c>
      <c r="N155" s="8">
        <v>7386.0</v>
      </c>
      <c r="O155" s="6" t="s">
        <v>62</v>
      </c>
      <c r="P155" s="6" t="s">
        <v>65</v>
      </c>
      <c r="Q155" s="6" t="s">
        <v>66</v>
      </c>
      <c r="R155" s="6" t="s">
        <v>58</v>
      </c>
      <c r="S155" s="6" t="s">
        <v>387</v>
      </c>
      <c r="T155" s="8" t="s">
        <v>389</v>
      </c>
      <c r="U155" s="6" t="s">
        <v>46</v>
      </c>
      <c r="V155" s="6" t="s">
        <v>48</v>
      </c>
      <c r="W155" s="6" t="s">
        <v>48</v>
      </c>
      <c r="X155" s="6" t="s">
        <v>52</v>
      </c>
      <c r="Y155" s="5"/>
      <c r="Z155" s="5"/>
      <c r="AA155" s="5"/>
      <c r="AB155" s="5"/>
      <c r="AC155" s="5"/>
      <c r="AD155" s="5"/>
    </row>
    <row r="156" ht="15.75" customHeight="1">
      <c r="A156" s="6" t="s">
        <v>347</v>
      </c>
      <c r="B156" s="6" t="s">
        <v>384</v>
      </c>
      <c r="C156" s="6" t="s">
        <v>62</v>
      </c>
      <c r="D156" s="6" t="s">
        <v>54</v>
      </c>
      <c r="E156" s="6" t="s">
        <v>385</v>
      </c>
      <c r="F156" s="6" t="s">
        <v>386</v>
      </c>
      <c r="G156" s="7">
        <v>168.2</v>
      </c>
      <c r="H156" s="9">
        <f t="shared" si="1"/>
        <v>136.9936975</v>
      </c>
      <c r="I156" s="9">
        <f t="shared" si="2"/>
        <v>328.487395</v>
      </c>
      <c r="J156" s="9">
        <f t="shared" si="3"/>
        <v>328.487395</v>
      </c>
      <c r="K156" s="9">
        <f t="shared" si="4"/>
        <v>390.9</v>
      </c>
      <c r="L156" s="6" t="s">
        <v>219</v>
      </c>
      <c r="M156" s="6" t="s">
        <v>48</v>
      </c>
      <c r="N156" s="8">
        <v>15720.0</v>
      </c>
      <c r="O156" s="6" t="s">
        <v>62</v>
      </c>
      <c r="P156" s="6" t="s">
        <v>69</v>
      </c>
      <c r="Q156" s="6" t="s">
        <v>70</v>
      </c>
      <c r="R156" s="6" t="s">
        <v>58</v>
      </c>
      <c r="S156" s="6" t="s">
        <v>387</v>
      </c>
      <c r="T156" s="8" t="s">
        <v>390</v>
      </c>
      <c r="U156" s="6" t="s">
        <v>46</v>
      </c>
      <c r="V156" s="6" t="s">
        <v>48</v>
      </c>
      <c r="W156" s="6" t="s">
        <v>48</v>
      </c>
      <c r="X156" s="6" t="s">
        <v>52</v>
      </c>
      <c r="Y156" s="5"/>
      <c r="Z156" s="5"/>
      <c r="AA156" s="5"/>
      <c r="AB156" s="5"/>
      <c r="AC156" s="5"/>
      <c r="AD156" s="5"/>
    </row>
    <row r="157" ht="15.75" customHeight="1">
      <c r="A157" s="6" t="s">
        <v>347</v>
      </c>
      <c r="B157" s="6" t="s">
        <v>384</v>
      </c>
      <c r="C157" s="6" t="s">
        <v>374</v>
      </c>
      <c r="D157" s="6" t="s">
        <v>63</v>
      </c>
      <c r="E157" s="6" t="s">
        <v>385</v>
      </c>
      <c r="F157" s="6" t="s">
        <v>386</v>
      </c>
      <c r="G157" s="7">
        <v>126.44</v>
      </c>
      <c r="H157" s="9">
        <f t="shared" si="1"/>
        <v>101.9012605</v>
      </c>
      <c r="I157" s="9">
        <f t="shared" si="2"/>
        <v>258.302521</v>
      </c>
      <c r="J157" s="9">
        <f t="shared" si="3"/>
        <v>258.302521</v>
      </c>
      <c r="K157" s="9">
        <f t="shared" si="4"/>
        <v>307.38</v>
      </c>
      <c r="L157" s="6" t="s">
        <v>219</v>
      </c>
      <c r="M157" s="6" t="s">
        <v>48</v>
      </c>
      <c r="N157" s="8">
        <v>15597.0</v>
      </c>
      <c r="O157" s="6" t="s">
        <v>375</v>
      </c>
      <c r="P157" s="6" t="s">
        <v>376</v>
      </c>
      <c r="Q157" s="6" t="s">
        <v>377</v>
      </c>
      <c r="R157" s="6" t="s">
        <v>58</v>
      </c>
      <c r="S157" s="6" t="s">
        <v>387</v>
      </c>
      <c r="T157" s="8" t="s">
        <v>389</v>
      </c>
      <c r="U157" s="6" t="s">
        <v>46</v>
      </c>
      <c r="V157" s="6" t="s">
        <v>48</v>
      </c>
      <c r="W157" s="6" t="s">
        <v>48</v>
      </c>
      <c r="X157" s="6" t="s">
        <v>77</v>
      </c>
      <c r="Y157" s="5"/>
      <c r="Z157" s="5"/>
      <c r="AA157" s="5"/>
      <c r="AB157" s="5"/>
      <c r="AC157" s="5"/>
      <c r="AD157" s="5"/>
    </row>
    <row r="158" ht="15.75" customHeight="1">
      <c r="A158" s="5"/>
      <c r="B158" s="5"/>
      <c r="C158" s="5"/>
      <c r="D158" s="5"/>
      <c r="E158" s="5"/>
      <c r="F158" s="5"/>
      <c r="G158" s="10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ht="15.75" customHeight="1">
      <c r="A159" s="5"/>
      <c r="B159" s="5"/>
      <c r="C159" s="5"/>
      <c r="D159" s="5"/>
      <c r="E159" s="5"/>
      <c r="F159" s="5"/>
      <c r="G159" s="10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ht="15.75" customHeight="1">
      <c r="A160" s="5"/>
      <c r="B160" s="5"/>
      <c r="C160" s="5"/>
      <c r="D160" s="5"/>
      <c r="E160" s="5"/>
      <c r="F160" s="5"/>
      <c r="G160" s="10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ht="15.75" customHeight="1">
      <c r="A161" s="5"/>
      <c r="B161" s="5"/>
      <c r="C161" s="5"/>
      <c r="D161" s="5"/>
      <c r="E161" s="5"/>
      <c r="F161" s="5"/>
      <c r="G161" s="10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ht="15.75" customHeight="1">
      <c r="A162" s="5"/>
      <c r="B162" s="5"/>
      <c r="C162" s="5"/>
      <c r="D162" s="5"/>
      <c r="E162" s="5"/>
      <c r="F162" s="5"/>
      <c r="G162" s="10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ht="15.75" customHeight="1">
      <c r="A163" s="5"/>
      <c r="B163" s="5"/>
      <c r="C163" s="5"/>
      <c r="D163" s="5"/>
      <c r="E163" s="5"/>
      <c r="F163" s="5"/>
      <c r="G163" s="10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ht="15.75" customHeight="1">
      <c r="A164" s="5"/>
      <c r="B164" s="5"/>
      <c r="C164" s="5"/>
      <c r="D164" s="5"/>
      <c r="E164" s="5"/>
      <c r="F164" s="5"/>
      <c r="G164" s="10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ht="15.75" customHeight="1">
      <c r="A165" s="5"/>
      <c r="B165" s="5"/>
      <c r="C165" s="5"/>
      <c r="D165" s="5"/>
      <c r="E165" s="5"/>
      <c r="F165" s="5"/>
      <c r="G165" s="10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ht="15.75" customHeight="1">
      <c r="A166" s="5"/>
      <c r="B166" s="5"/>
      <c r="C166" s="5"/>
      <c r="D166" s="5"/>
      <c r="E166" s="5"/>
      <c r="F166" s="5"/>
      <c r="G166" s="10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ht="15.75" customHeight="1">
      <c r="A167" s="5"/>
      <c r="B167" s="5"/>
      <c r="C167" s="5"/>
      <c r="D167" s="5"/>
      <c r="E167" s="5"/>
      <c r="F167" s="5"/>
      <c r="G167" s="10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ht="15.75" customHeight="1">
      <c r="A168" s="5"/>
      <c r="B168" s="5"/>
      <c r="C168" s="5"/>
      <c r="D168" s="5"/>
      <c r="E168" s="5"/>
      <c r="F168" s="5"/>
      <c r="G168" s="10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ht="15.75" customHeight="1">
      <c r="A169" s="5"/>
      <c r="B169" s="5"/>
      <c r="C169" s="5"/>
      <c r="D169" s="5"/>
      <c r="E169" s="5"/>
      <c r="F169" s="5"/>
      <c r="G169" s="10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ht="15.75" customHeight="1">
      <c r="A170" s="5"/>
      <c r="B170" s="5"/>
      <c r="C170" s="5"/>
      <c r="D170" s="5"/>
      <c r="E170" s="5"/>
      <c r="F170" s="5"/>
      <c r="G170" s="10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ht="15.75" customHeight="1">
      <c r="A171" s="5"/>
      <c r="B171" s="5"/>
      <c r="C171" s="5"/>
      <c r="D171" s="5"/>
      <c r="E171" s="5"/>
      <c r="F171" s="5"/>
      <c r="G171" s="10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ht="15.75" customHeight="1">
      <c r="A172" s="5"/>
      <c r="B172" s="5"/>
      <c r="C172" s="5"/>
      <c r="D172" s="5"/>
      <c r="E172" s="5"/>
      <c r="F172" s="5"/>
      <c r="G172" s="10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ht="15.75" customHeight="1">
      <c r="A173" s="5"/>
      <c r="B173" s="5"/>
      <c r="C173" s="5"/>
      <c r="D173" s="5"/>
      <c r="E173" s="5"/>
      <c r="F173" s="5"/>
      <c r="G173" s="10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ht="15.75" customHeight="1">
      <c r="A174" s="5"/>
      <c r="B174" s="5"/>
      <c r="C174" s="5"/>
      <c r="D174" s="5"/>
      <c r="E174" s="5"/>
      <c r="F174" s="5"/>
      <c r="G174" s="10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ht="15.75" customHeight="1">
      <c r="A175" s="5"/>
      <c r="B175" s="5"/>
      <c r="C175" s="5"/>
      <c r="D175" s="5"/>
      <c r="E175" s="5"/>
      <c r="F175" s="5"/>
      <c r="G175" s="1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ht="15.75" customHeight="1">
      <c r="A176" s="5"/>
      <c r="B176" s="5"/>
      <c r="C176" s="5"/>
      <c r="D176" s="5"/>
      <c r="E176" s="5"/>
      <c r="F176" s="5"/>
      <c r="G176" s="1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ht="15.75" customHeight="1">
      <c r="A177" s="5"/>
      <c r="B177" s="5"/>
      <c r="C177" s="5"/>
      <c r="D177" s="5"/>
      <c r="E177" s="5"/>
      <c r="F177" s="5"/>
      <c r="G177" s="1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ht="15.75" customHeight="1">
      <c r="A178" s="5"/>
      <c r="B178" s="5"/>
      <c r="C178" s="5"/>
      <c r="D178" s="5"/>
      <c r="E178" s="5"/>
      <c r="F178" s="5"/>
      <c r="G178" s="1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ht="15.75" customHeight="1">
      <c r="A179" s="5"/>
      <c r="B179" s="5"/>
      <c r="C179" s="5"/>
      <c r="D179" s="5"/>
      <c r="E179" s="5"/>
      <c r="F179" s="5"/>
      <c r="G179" s="1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ht="15.75" customHeight="1">
      <c r="A180" s="5"/>
      <c r="B180" s="5"/>
      <c r="C180" s="5"/>
      <c r="D180" s="5"/>
      <c r="E180" s="5"/>
      <c r="F180" s="5"/>
      <c r="G180" s="1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ht="15.75" customHeight="1">
      <c r="A181" s="5"/>
      <c r="B181" s="5"/>
      <c r="C181" s="5"/>
      <c r="D181" s="5"/>
      <c r="E181" s="5"/>
      <c r="F181" s="5"/>
      <c r="G181" s="1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ht="15.75" customHeight="1">
      <c r="A182" s="5"/>
      <c r="B182" s="5"/>
      <c r="C182" s="5"/>
      <c r="D182" s="5"/>
      <c r="E182" s="5"/>
      <c r="F182" s="5"/>
      <c r="G182" s="1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ht="15.75" customHeight="1">
      <c r="A183" s="5"/>
      <c r="B183" s="5"/>
      <c r="C183" s="5"/>
      <c r="D183" s="5"/>
      <c r="E183" s="5"/>
      <c r="F183" s="5"/>
      <c r="G183" s="10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ht="15.75" customHeight="1">
      <c r="A184" s="5"/>
      <c r="B184" s="5"/>
      <c r="C184" s="5"/>
      <c r="D184" s="5"/>
      <c r="E184" s="5"/>
      <c r="F184" s="5"/>
      <c r="G184" s="1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ht="15.75" customHeight="1">
      <c r="A185" s="5"/>
      <c r="B185" s="5"/>
      <c r="C185" s="5"/>
      <c r="D185" s="5"/>
      <c r="E185" s="5"/>
      <c r="F185" s="5"/>
      <c r="G185" s="1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ht="15.75" customHeight="1">
      <c r="A186" s="5"/>
      <c r="B186" s="5"/>
      <c r="C186" s="5"/>
      <c r="D186" s="5"/>
      <c r="E186" s="5"/>
      <c r="F186" s="5"/>
      <c r="G186" s="1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ht="15.75" customHeight="1">
      <c r="A187" s="5"/>
      <c r="B187" s="5"/>
      <c r="C187" s="5"/>
      <c r="D187" s="5"/>
      <c r="E187" s="5"/>
      <c r="F187" s="5"/>
      <c r="G187" s="10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ht="15.75" customHeight="1">
      <c r="A188" s="5"/>
      <c r="B188" s="5"/>
      <c r="C188" s="5"/>
      <c r="D188" s="5"/>
      <c r="E188" s="5"/>
      <c r="F188" s="5"/>
      <c r="G188" s="10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ht="15.75" customHeight="1">
      <c r="A189" s="5"/>
      <c r="B189" s="5"/>
      <c r="C189" s="5"/>
      <c r="D189" s="5"/>
      <c r="E189" s="5"/>
      <c r="F189" s="5"/>
      <c r="G189" s="10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ht="15.75" customHeight="1">
      <c r="A190" s="5"/>
      <c r="B190" s="5"/>
      <c r="C190" s="5"/>
      <c r="D190" s="5"/>
      <c r="E190" s="5"/>
      <c r="F190" s="5"/>
      <c r="G190" s="10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ht="15.75" customHeight="1">
      <c r="A191" s="5"/>
      <c r="B191" s="5"/>
      <c r="C191" s="5"/>
      <c r="D191" s="5"/>
      <c r="E191" s="5"/>
      <c r="F191" s="5"/>
      <c r="G191" s="10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ht="15.75" customHeight="1">
      <c r="A192" s="5"/>
      <c r="B192" s="5"/>
      <c r="C192" s="5"/>
      <c r="D192" s="5"/>
      <c r="E192" s="5"/>
      <c r="F192" s="5"/>
      <c r="G192" s="10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ht="15.75" customHeight="1">
      <c r="A193" s="5"/>
      <c r="B193" s="5"/>
      <c r="C193" s="5"/>
      <c r="D193" s="5"/>
      <c r="E193" s="5"/>
      <c r="F193" s="5"/>
      <c r="G193" s="10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ht="15.75" customHeight="1">
      <c r="A194" s="5"/>
      <c r="B194" s="5"/>
      <c r="C194" s="5"/>
      <c r="D194" s="5"/>
      <c r="E194" s="5"/>
      <c r="F194" s="5"/>
      <c r="G194" s="10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ht="15.75" customHeight="1">
      <c r="A195" s="5"/>
      <c r="B195" s="5"/>
      <c r="C195" s="5"/>
      <c r="D195" s="5"/>
      <c r="E195" s="5"/>
      <c r="F195" s="5"/>
      <c r="G195" s="10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ht="15.75" customHeight="1">
      <c r="A196" s="5"/>
      <c r="B196" s="5"/>
      <c r="C196" s="5"/>
      <c r="D196" s="5"/>
      <c r="E196" s="5"/>
      <c r="F196" s="5"/>
      <c r="G196" s="10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ht="15.75" customHeight="1">
      <c r="A197" s="5"/>
      <c r="B197" s="5"/>
      <c r="C197" s="5"/>
      <c r="D197" s="5"/>
      <c r="E197" s="5"/>
      <c r="F197" s="5"/>
      <c r="G197" s="10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ht="15.75" customHeight="1">
      <c r="A198" s="5"/>
      <c r="B198" s="5"/>
      <c r="C198" s="5"/>
      <c r="D198" s="5"/>
      <c r="E198" s="5"/>
      <c r="F198" s="5"/>
      <c r="G198" s="10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ht="15.75" customHeight="1">
      <c r="A199" s="5"/>
      <c r="B199" s="5"/>
      <c r="C199" s="5"/>
      <c r="D199" s="5"/>
      <c r="E199" s="5"/>
      <c r="F199" s="5"/>
      <c r="G199" s="10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ht="15.75" customHeight="1">
      <c r="A200" s="5"/>
      <c r="B200" s="5"/>
      <c r="C200" s="5"/>
      <c r="D200" s="5"/>
      <c r="E200" s="5"/>
      <c r="F200" s="5"/>
      <c r="G200" s="10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ht="15.75" customHeight="1">
      <c r="A201" s="5"/>
      <c r="B201" s="5"/>
      <c r="C201" s="5"/>
      <c r="D201" s="5"/>
      <c r="E201" s="5"/>
      <c r="F201" s="5"/>
      <c r="G201" s="10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ht="15.75" customHeight="1">
      <c r="A202" s="5"/>
      <c r="B202" s="5"/>
      <c r="C202" s="5"/>
      <c r="D202" s="5"/>
      <c r="E202" s="5"/>
      <c r="F202" s="5"/>
      <c r="G202" s="10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ht="15.75" customHeight="1">
      <c r="A203" s="5"/>
      <c r="B203" s="5"/>
      <c r="C203" s="5"/>
      <c r="D203" s="5"/>
      <c r="E203" s="5"/>
      <c r="F203" s="5"/>
      <c r="G203" s="10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ht="15.75" customHeight="1">
      <c r="A204" s="5"/>
      <c r="B204" s="5"/>
      <c r="C204" s="5"/>
      <c r="D204" s="5"/>
      <c r="E204" s="5"/>
      <c r="F204" s="5"/>
      <c r="G204" s="10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ht="15.75" customHeight="1">
      <c r="A205" s="5"/>
      <c r="B205" s="5"/>
      <c r="C205" s="5"/>
      <c r="D205" s="5"/>
      <c r="E205" s="5"/>
      <c r="F205" s="5"/>
      <c r="G205" s="10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ht="15.75" customHeight="1">
      <c r="A206" s="5"/>
      <c r="B206" s="5"/>
      <c r="C206" s="5"/>
      <c r="D206" s="5"/>
      <c r="E206" s="5"/>
      <c r="F206" s="5"/>
      <c r="G206" s="10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ht="15.75" customHeight="1">
      <c r="A207" s="5"/>
      <c r="B207" s="5"/>
      <c r="C207" s="5"/>
      <c r="D207" s="5"/>
      <c r="E207" s="5"/>
      <c r="F207" s="5"/>
      <c r="G207" s="10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ht="15.75" customHeight="1">
      <c r="A208" s="5"/>
      <c r="B208" s="5"/>
      <c r="C208" s="5"/>
      <c r="D208" s="5"/>
      <c r="E208" s="5"/>
      <c r="F208" s="5"/>
      <c r="G208" s="1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ht="15.75" customHeight="1">
      <c r="A209" s="5"/>
      <c r="B209" s="5"/>
      <c r="C209" s="5"/>
      <c r="D209" s="5"/>
      <c r="E209" s="5"/>
      <c r="F209" s="5"/>
      <c r="G209" s="1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ht="15.75" customHeight="1">
      <c r="A210" s="5"/>
      <c r="B210" s="5"/>
      <c r="C210" s="5"/>
      <c r="D210" s="5"/>
      <c r="E210" s="5"/>
      <c r="F210" s="5"/>
      <c r="G210" s="1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ht="15.75" customHeight="1">
      <c r="A211" s="5"/>
      <c r="B211" s="5"/>
      <c r="C211" s="5"/>
      <c r="D211" s="5"/>
      <c r="E211" s="5"/>
      <c r="F211" s="5"/>
      <c r="G211" s="1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ht="15.75" customHeight="1">
      <c r="A212" s="5"/>
      <c r="B212" s="5"/>
      <c r="C212" s="5"/>
      <c r="D212" s="5"/>
      <c r="E212" s="5"/>
      <c r="F212" s="5"/>
      <c r="G212" s="10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ht="15.75" customHeight="1">
      <c r="A213" s="5"/>
      <c r="B213" s="5"/>
      <c r="C213" s="5"/>
      <c r="D213" s="5"/>
      <c r="E213" s="5"/>
      <c r="F213" s="5"/>
      <c r="G213" s="1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ht="15.75" customHeight="1">
      <c r="A214" s="5"/>
      <c r="B214" s="5"/>
      <c r="C214" s="5"/>
      <c r="D214" s="5"/>
      <c r="E214" s="5"/>
      <c r="F214" s="5"/>
      <c r="G214" s="1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ht="15.75" customHeight="1">
      <c r="A215" s="5"/>
      <c r="B215" s="5"/>
      <c r="C215" s="5"/>
      <c r="D215" s="5"/>
      <c r="E215" s="5"/>
      <c r="F215" s="5"/>
      <c r="G215" s="1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ht="15.75" customHeight="1">
      <c r="A216" s="5"/>
      <c r="B216" s="5"/>
      <c r="C216" s="5"/>
      <c r="D216" s="5"/>
      <c r="E216" s="5"/>
      <c r="F216" s="5"/>
      <c r="G216" s="1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ht="15.75" customHeight="1">
      <c r="A217" s="5"/>
      <c r="B217" s="5"/>
      <c r="C217" s="5"/>
      <c r="D217" s="5"/>
      <c r="E217" s="5"/>
      <c r="F217" s="5"/>
      <c r="G217" s="1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ht="15.75" customHeight="1">
      <c r="A218" s="5"/>
      <c r="B218" s="5"/>
      <c r="C218" s="5"/>
      <c r="D218" s="5"/>
      <c r="E218" s="5"/>
      <c r="F218" s="5"/>
      <c r="G218" s="10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ht="15.75" customHeight="1">
      <c r="A219" s="5"/>
      <c r="B219" s="5"/>
      <c r="C219" s="5"/>
      <c r="D219" s="5"/>
      <c r="E219" s="5"/>
      <c r="F219" s="5"/>
      <c r="G219" s="1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ht="15.75" customHeight="1">
      <c r="A220" s="5"/>
      <c r="B220" s="5"/>
      <c r="C220" s="5"/>
      <c r="D220" s="5"/>
      <c r="E220" s="5"/>
      <c r="F220" s="5"/>
      <c r="G220" s="1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ht="15.75" customHeight="1">
      <c r="A221" s="5"/>
      <c r="B221" s="5"/>
      <c r="C221" s="5"/>
      <c r="D221" s="5"/>
      <c r="E221" s="5"/>
      <c r="F221" s="5"/>
      <c r="G221" s="1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ht="15.75" customHeight="1">
      <c r="A222" s="5"/>
      <c r="B222" s="5"/>
      <c r="C222" s="5"/>
      <c r="D222" s="5"/>
      <c r="E222" s="5"/>
      <c r="F222" s="5"/>
      <c r="G222" s="1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ht="15.75" customHeight="1">
      <c r="A223" s="5"/>
      <c r="B223" s="5"/>
      <c r="C223" s="5"/>
      <c r="D223" s="5"/>
      <c r="E223" s="5"/>
      <c r="F223" s="5"/>
      <c r="G223" s="1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ht="15.75" customHeight="1">
      <c r="A224" s="5"/>
      <c r="B224" s="5"/>
      <c r="C224" s="5"/>
      <c r="D224" s="5"/>
      <c r="E224" s="5"/>
      <c r="F224" s="5"/>
      <c r="G224" s="1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ht="15.75" customHeight="1">
      <c r="A225" s="5"/>
      <c r="B225" s="5"/>
      <c r="C225" s="5"/>
      <c r="D225" s="5"/>
      <c r="E225" s="5"/>
      <c r="F225" s="5"/>
      <c r="G225" s="1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ht="15.75" customHeight="1">
      <c r="A226" s="5"/>
      <c r="B226" s="5"/>
      <c r="C226" s="5"/>
      <c r="D226" s="5"/>
      <c r="E226" s="5"/>
      <c r="F226" s="5"/>
      <c r="G226" s="1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ht="15.75" customHeight="1">
      <c r="A227" s="5"/>
      <c r="B227" s="5"/>
      <c r="C227" s="5"/>
      <c r="D227" s="5"/>
      <c r="E227" s="5"/>
      <c r="F227" s="5"/>
      <c r="G227" s="10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ht="15.75" customHeight="1">
      <c r="A228" s="5"/>
      <c r="B228" s="5"/>
      <c r="C228" s="5"/>
      <c r="D228" s="5"/>
      <c r="E228" s="5"/>
      <c r="F228" s="5"/>
      <c r="G228" s="10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ht="15.75" customHeight="1">
      <c r="A229" s="5"/>
      <c r="B229" s="5"/>
      <c r="C229" s="5"/>
      <c r="D229" s="5"/>
      <c r="E229" s="5"/>
      <c r="F229" s="5"/>
      <c r="G229" s="10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ht="15.75" customHeight="1">
      <c r="A230" s="5"/>
      <c r="B230" s="5"/>
      <c r="C230" s="5"/>
      <c r="D230" s="5"/>
      <c r="E230" s="5"/>
      <c r="F230" s="5"/>
      <c r="G230" s="10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ht="15.75" customHeight="1">
      <c r="A231" s="5"/>
      <c r="B231" s="5"/>
      <c r="C231" s="5"/>
      <c r="D231" s="5"/>
      <c r="E231" s="5"/>
      <c r="F231" s="5"/>
      <c r="G231" s="10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ht="15.75" customHeight="1">
      <c r="A232" s="5"/>
      <c r="B232" s="5"/>
      <c r="C232" s="5"/>
      <c r="D232" s="5"/>
      <c r="E232" s="5"/>
      <c r="F232" s="5"/>
      <c r="G232" s="10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ht="15.75" customHeight="1">
      <c r="A233" s="5"/>
      <c r="B233" s="5"/>
      <c r="C233" s="5"/>
      <c r="D233" s="5"/>
      <c r="E233" s="5"/>
      <c r="F233" s="5"/>
      <c r="G233" s="10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ht="15.75" customHeight="1">
      <c r="A234" s="5"/>
      <c r="B234" s="5"/>
      <c r="C234" s="5"/>
      <c r="D234" s="5"/>
      <c r="E234" s="5"/>
      <c r="F234" s="5"/>
      <c r="G234" s="10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ht="15.75" customHeight="1">
      <c r="A235" s="5"/>
      <c r="B235" s="5"/>
      <c r="C235" s="5"/>
      <c r="D235" s="5"/>
      <c r="E235" s="5"/>
      <c r="F235" s="5"/>
      <c r="G235" s="10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ht="15.75" customHeight="1">
      <c r="A236" s="5"/>
      <c r="B236" s="5"/>
      <c r="C236" s="5"/>
      <c r="D236" s="5"/>
      <c r="E236" s="5"/>
      <c r="F236" s="5"/>
      <c r="G236" s="10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ht="15.75" customHeight="1">
      <c r="A237" s="5"/>
      <c r="B237" s="5"/>
      <c r="C237" s="5"/>
      <c r="D237" s="5"/>
      <c r="E237" s="5"/>
      <c r="F237" s="5"/>
      <c r="G237" s="10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ht="15.75" customHeight="1">
      <c r="A238" s="5"/>
      <c r="B238" s="5"/>
      <c r="C238" s="5"/>
      <c r="D238" s="5"/>
      <c r="E238" s="5"/>
      <c r="F238" s="5"/>
      <c r="G238" s="10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ht="15.75" customHeight="1">
      <c r="A239" s="5"/>
      <c r="B239" s="5"/>
      <c r="C239" s="5"/>
      <c r="D239" s="5"/>
      <c r="E239" s="5"/>
      <c r="F239" s="5"/>
      <c r="G239" s="10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ht="15.75" customHeight="1">
      <c r="A240" s="5"/>
      <c r="B240" s="5"/>
      <c r="C240" s="5"/>
      <c r="D240" s="5"/>
      <c r="E240" s="5"/>
      <c r="F240" s="5"/>
      <c r="G240" s="10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ht="15.75" customHeight="1">
      <c r="A241" s="5"/>
      <c r="B241" s="5"/>
      <c r="C241" s="5"/>
      <c r="D241" s="5"/>
      <c r="E241" s="5"/>
      <c r="F241" s="5"/>
      <c r="G241" s="10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ht="15.75" customHeight="1">
      <c r="A242" s="5"/>
      <c r="B242" s="5"/>
      <c r="C242" s="5"/>
      <c r="D242" s="5"/>
      <c r="E242" s="5"/>
      <c r="F242" s="5"/>
      <c r="G242" s="10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ht="15.75" customHeight="1">
      <c r="A243" s="5"/>
      <c r="B243" s="5"/>
      <c r="C243" s="5"/>
      <c r="D243" s="5"/>
      <c r="E243" s="5"/>
      <c r="F243" s="5"/>
      <c r="G243" s="10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ht="15.75" customHeight="1">
      <c r="A244" s="5"/>
      <c r="B244" s="5"/>
      <c r="C244" s="5"/>
      <c r="D244" s="5"/>
      <c r="E244" s="5"/>
      <c r="F244" s="5"/>
      <c r="G244" s="10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ht="15.75" customHeight="1">
      <c r="A245" s="5"/>
      <c r="B245" s="5"/>
      <c r="C245" s="5"/>
      <c r="D245" s="5"/>
      <c r="E245" s="5"/>
      <c r="F245" s="5"/>
      <c r="G245" s="10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ht="15.75" customHeight="1">
      <c r="A246" s="5"/>
      <c r="B246" s="5"/>
      <c r="C246" s="5"/>
      <c r="D246" s="5"/>
      <c r="E246" s="5"/>
      <c r="F246" s="5"/>
      <c r="G246" s="10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ht="15.75" customHeight="1">
      <c r="A247" s="5"/>
      <c r="B247" s="5"/>
      <c r="C247" s="5"/>
      <c r="D247" s="5"/>
      <c r="E247" s="5"/>
      <c r="F247" s="5"/>
      <c r="G247" s="10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ht="15.75" customHeight="1">
      <c r="A248" s="5"/>
      <c r="B248" s="5"/>
      <c r="C248" s="5"/>
      <c r="D248" s="5"/>
      <c r="E248" s="5"/>
      <c r="F248" s="5"/>
      <c r="G248" s="10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ht="15.75" customHeight="1">
      <c r="A249" s="5"/>
      <c r="B249" s="5"/>
      <c r="C249" s="5"/>
      <c r="D249" s="5"/>
      <c r="E249" s="5"/>
      <c r="F249" s="5"/>
      <c r="G249" s="10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ht="15.75" customHeight="1">
      <c r="A250" s="5"/>
      <c r="B250" s="5"/>
      <c r="C250" s="5"/>
      <c r="D250" s="5"/>
      <c r="E250" s="5"/>
      <c r="F250" s="5"/>
      <c r="G250" s="10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ht="15.75" customHeight="1">
      <c r="A251" s="5"/>
      <c r="B251" s="5"/>
      <c r="C251" s="5"/>
      <c r="D251" s="5"/>
      <c r="E251" s="5"/>
      <c r="F251" s="5"/>
      <c r="G251" s="10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ht="15.75" customHeight="1">
      <c r="A252" s="5"/>
      <c r="B252" s="5"/>
      <c r="C252" s="5"/>
      <c r="D252" s="5"/>
      <c r="E252" s="5"/>
      <c r="F252" s="5"/>
      <c r="G252" s="10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ht="15.75" customHeight="1">
      <c r="A253" s="5"/>
      <c r="B253" s="5"/>
      <c r="C253" s="5"/>
      <c r="D253" s="5"/>
      <c r="E253" s="5"/>
      <c r="F253" s="5"/>
      <c r="G253" s="10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ht="15.75" customHeight="1">
      <c r="A254" s="5"/>
      <c r="B254" s="5"/>
      <c r="C254" s="5"/>
      <c r="D254" s="5"/>
      <c r="E254" s="5"/>
      <c r="F254" s="5"/>
      <c r="G254" s="10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ht="15.75" customHeight="1">
      <c r="A255" s="5"/>
      <c r="B255" s="5"/>
      <c r="C255" s="5"/>
      <c r="D255" s="5"/>
      <c r="E255" s="5"/>
      <c r="F255" s="5"/>
      <c r="G255" s="10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ht="15.75" customHeight="1">
      <c r="A256" s="5"/>
      <c r="B256" s="5"/>
      <c r="C256" s="5"/>
      <c r="D256" s="5"/>
      <c r="E256" s="5"/>
      <c r="F256" s="5"/>
      <c r="G256" s="10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ht="15.75" customHeight="1">
      <c r="A257" s="5"/>
      <c r="B257" s="5"/>
      <c r="C257" s="5"/>
      <c r="D257" s="5"/>
      <c r="E257" s="5"/>
      <c r="F257" s="5"/>
      <c r="G257" s="1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ht="15.75" customHeight="1">
      <c r="A258" s="5"/>
      <c r="B258" s="5"/>
      <c r="C258" s="5"/>
      <c r="D258" s="5"/>
      <c r="E258" s="5"/>
      <c r="F258" s="5"/>
      <c r="G258" s="1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ht="15.75" customHeight="1">
      <c r="A259" s="5"/>
      <c r="B259" s="5"/>
      <c r="C259" s="5"/>
      <c r="D259" s="5"/>
      <c r="E259" s="5"/>
      <c r="F259" s="5"/>
      <c r="G259" s="1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ht="15.75" customHeight="1">
      <c r="A260" s="5"/>
      <c r="B260" s="5"/>
      <c r="C260" s="5"/>
      <c r="D260" s="5"/>
      <c r="E260" s="5"/>
      <c r="F260" s="5"/>
      <c r="G260" s="1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ht="15.75" customHeight="1">
      <c r="A261" s="5"/>
      <c r="B261" s="5"/>
      <c r="C261" s="5"/>
      <c r="D261" s="5"/>
      <c r="E261" s="5"/>
      <c r="F261" s="5"/>
      <c r="G261" s="10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ht="15.75" customHeight="1">
      <c r="A262" s="5"/>
      <c r="B262" s="5"/>
      <c r="C262" s="5"/>
      <c r="D262" s="5"/>
      <c r="E262" s="5"/>
      <c r="F262" s="5"/>
      <c r="G262" s="10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ht="15.75" customHeight="1">
      <c r="A263" s="5"/>
      <c r="B263" s="5"/>
      <c r="C263" s="5"/>
      <c r="D263" s="5"/>
      <c r="E263" s="5"/>
      <c r="F263" s="5"/>
      <c r="G263" s="10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ht="15.75" customHeight="1">
      <c r="A264" s="5"/>
      <c r="B264" s="5"/>
      <c r="C264" s="5"/>
      <c r="D264" s="5"/>
      <c r="E264" s="5"/>
      <c r="F264" s="5"/>
      <c r="G264" s="10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ht="15.75" customHeight="1">
      <c r="A265" s="5"/>
      <c r="B265" s="5"/>
      <c r="C265" s="5"/>
      <c r="D265" s="5"/>
      <c r="E265" s="5"/>
      <c r="F265" s="5"/>
      <c r="G265" s="1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ht="15.75" customHeight="1">
      <c r="A266" s="5"/>
      <c r="B266" s="5"/>
      <c r="C266" s="5"/>
      <c r="D266" s="5"/>
      <c r="E266" s="5"/>
      <c r="F266" s="5"/>
      <c r="G266" s="10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ht="15.75" customHeight="1">
      <c r="A267" s="5"/>
      <c r="B267" s="5"/>
      <c r="C267" s="5"/>
      <c r="D267" s="5"/>
      <c r="E267" s="5"/>
      <c r="F267" s="5"/>
      <c r="G267" s="10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ht="15.75" customHeight="1">
      <c r="A268" s="5"/>
      <c r="B268" s="5"/>
      <c r="C268" s="5"/>
      <c r="D268" s="5"/>
      <c r="E268" s="5"/>
      <c r="F268" s="5"/>
      <c r="G268" s="10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ht="15.75" customHeight="1">
      <c r="A269" s="5"/>
      <c r="B269" s="5"/>
      <c r="C269" s="5"/>
      <c r="D269" s="5"/>
      <c r="E269" s="5"/>
      <c r="F269" s="5"/>
      <c r="G269" s="10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ht="15.75" customHeight="1">
      <c r="A270" s="5"/>
      <c r="B270" s="5"/>
      <c r="C270" s="5"/>
      <c r="D270" s="5"/>
      <c r="E270" s="5"/>
      <c r="F270" s="5"/>
      <c r="G270" s="10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ht="15.75" customHeight="1">
      <c r="A271" s="5"/>
      <c r="B271" s="5"/>
      <c r="C271" s="5"/>
      <c r="D271" s="5"/>
      <c r="E271" s="5"/>
      <c r="F271" s="5"/>
      <c r="G271" s="10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ht="15.75" customHeight="1">
      <c r="A272" s="5"/>
      <c r="B272" s="5"/>
      <c r="C272" s="5"/>
      <c r="D272" s="5"/>
      <c r="E272" s="5"/>
      <c r="F272" s="5"/>
      <c r="G272" s="10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ht="15.75" customHeight="1">
      <c r="A273" s="5"/>
      <c r="B273" s="5"/>
      <c r="C273" s="5"/>
      <c r="D273" s="5"/>
      <c r="E273" s="5"/>
      <c r="F273" s="5"/>
      <c r="G273" s="10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ht="15.75" customHeight="1">
      <c r="A274" s="5"/>
      <c r="B274" s="5"/>
      <c r="C274" s="5"/>
      <c r="D274" s="5"/>
      <c r="E274" s="5"/>
      <c r="F274" s="5"/>
      <c r="G274" s="10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ht="15.75" customHeight="1">
      <c r="A275" s="5"/>
      <c r="B275" s="5"/>
      <c r="C275" s="5"/>
      <c r="D275" s="5"/>
      <c r="E275" s="5"/>
      <c r="F275" s="5"/>
      <c r="G275" s="10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ht="15.75" customHeight="1">
      <c r="A276" s="5"/>
      <c r="B276" s="5"/>
      <c r="C276" s="5"/>
      <c r="D276" s="5"/>
      <c r="E276" s="5"/>
      <c r="F276" s="5"/>
      <c r="G276" s="10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ht="15.75" customHeight="1">
      <c r="A277" s="5"/>
      <c r="B277" s="5"/>
      <c r="C277" s="5"/>
      <c r="D277" s="5"/>
      <c r="E277" s="5"/>
      <c r="F277" s="5"/>
      <c r="G277" s="10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ht="15.75" customHeight="1">
      <c r="A278" s="5"/>
      <c r="B278" s="5"/>
      <c r="C278" s="5"/>
      <c r="D278" s="5"/>
      <c r="E278" s="5"/>
      <c r="F278" s="5"/>
      <c r="G278" s="1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ht="15.75" customHeight="1">
      <c r="A279" s="5"/>
      <c r="B279" s="5"/>
      <c r="C279" s="5"/>
      <c r="D279" s="5"/>
      <c r="E279" s="5"/>
      <c r="F279" s="5"/>
      <c r="G279" s="1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ht="15.75" customHeight="1">
      <c r="A280" s="5"/>
      <c r="B280" s="5"/>
      <c r="C280" s="5"/>
      <c r="D280" s="5"/>
      <c r="E280" s="5"/>
      <c r="F280" s="5"/>
      <c r="G280" s="10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ht="15.75" customHeight="1">
      <c r="A281" s="5"/>
      <c r="B281" s="5"/>
      <c r="C281" s="5"/>
      <c r="D281" s="5"/>
      <c r="E281" s="5"/>
      <c r="F281" s="5"/>
      <c r="G281" s="1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ht="15.75" customHeight="1">
      <c r="A282" s="5"/>
      <c r="B282" s="5"/>
      <c r="C282" s="5"/>
      <c r="D282" s="5"/>
      <c r="E282" s="5"/>
      <c r="F282" s="5"/>
      <c r="G282" s="10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ht="15.75" customHeight="1">
      <c r="A283" s="5"/>
      <c r="B283" s="5"/>
      <c r="C283" s="5"/>
      <c r="D283" s="5"/>
      <c r="E283" s="5"/>
      <c r="F283" s="5"/>
      <c r="G283" s="1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ht="15.75" customHeight="1">
      <c r="A284" s="5"/>
      <c r="B284" s="5"/>
      <c r="C284" s="5"/>
      <c r="D284" s="5"/>
      <c r="E284" s="5"/>
      <c r="F284" s="5"/>
      <c r="G284" s="1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ht="15.75" customHeight="1">
      <c r="A285" s="5"/>
      <c r="B285" s="5"/>
      <c r="C285" s="5"/>
      <c r="D285" s="5"/>
      <c r="E285" s="5"/>
      <c r="F285" s="5"/>
      <c r="G285" s="1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ht="15.75" customHeight="1">
      <c r="A286" s="5"/>
      <c r="B286" s="5"/>
      <c r="C286" s="5"/>
      <c r="D286" s="5"/>
      <c r="E286" s="5"/>
      <c r="F286" s="5"/>
      <c r="G286" s="10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ht="15.75" customHeight="1">
      <c r="A287" s="5"/>
      <c r="B287" s="5"/>
      <c r="C287" s="5"/>
      <c r="D287" s="5"/>
      <c r="E287" s="5"/>
      <c r="F287" s="5"/>
      <c r="G287" s="10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ht="15.75" customHeight="1">
      <c r="A288" s="5"/>
      <c r="B288" s="5"/>
      <c r="C288" s="5"/>
      <c r="D288" s="5"/>
      <c r="E288" s="5"/>
      <c r="F288" s="5"/>
      <c r="G288" s="10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ht="15.75" customHeight="1">
      <c r="A289" s="5"/>
      <c r="B289" s="5"/>
      <c r="C289" s="5"/>
      <c r="D289" s="5"/>
      <c r="E289" s="5"/>
      <c r="F289" s="5"/>
      <c r="G289" s="10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ht="15.75" customHeight="1">
      <c r="A290" s="5"/>
      <c r="B290" s="5"/>
      <c r="C290" s="5"/>
      <c r="D290" s="5"/>
      <c r="E290" s="5"/>
      <c r="F290" s="5"/>
      <c r="G290" s="10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ht="15.75" customHeight="1">
      <c r="A291" s="5"/>
      <c r="B291" s="5"/>
      <c r="C291" s="5"/>
      <c r="D291" s="5"/>
      <c r="E291" s="5"/>
      <c r="F291" s="5"/>
      <c r="G291" s="10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ht="15.75" customHeight="1">
      <c r="A292" s="5"/>
      <c r="B292" s="5"/>
      <c r="C292" s="5"/>
      <c r="D292" s="5"/>
      <c r="E292" s="5"/>
      <c r="F292" s="5"/>
      <c r="G292" s="10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ht="15.75" customHeight="1">
      <c r="A293" s="5"/>
      <c r="B293" s="5"/>
      <c r="C293" s="5"/>
      <c r="D293" s="5"/>
      <c r="E293" s="5"/>
      <c r="F293" s="5"/>
      <c r="G293" s="10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ht="15.75" customHeight="1">
      <c r="A294" s="5"/>
      <c r="B294" s="5"/>
      <c r="C294" s="5"/>
      <c r="D294" s="5"/>
      <c r="E294" s="5"/>
      <c r="F294" s="5"/>
      <c r="G294" s="10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ht="15.75" customHeight="1">
      <c r="A295" s="5"/>
      <c r="B295" s="5"/>
      <c r="C295" s="5"/>
      <c r="D295" s="5"/>
      <c r="E295" s="5"/>
      <c r="F295" s="5"/>
      <c r="G295" s="10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ht="15.75" customHeight="1">
      <c r="A296" s="5"/>
      <c r="B296" s="5"/>
      <c r="C296" s="5"/>
      <c r="D296" s="5"/>
      <c r="E296" s="5"/>
      <c r="F296" s="5"/>
      <c r="G296" s="10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ht="15.75" customHeight="1">
      <c r="A297" s="5"/>
      <c r="B297" s="5"/>
      <c r="C297" s="5"/>
      <c r="D297" s="5"/>
      <c r="E297" s="5"/>
      <c r="F297" s="5"/>
      <c r="G297" s="10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ht="15.75" customHeight="1">
      <c r="A298" s="5"/>
      <c r="B298" s="5"/>
      <c r="C298" s="5"/>
      <c r="D298" s="5"/>
      <c r="E298" s="5"/>
      <c r="F298" s="5"/>
      <c r="G298" s="10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ht="15.75" customHeight="1">
      <c r="A299" s="5"/>
      <c r="B299" s="5"/>
      <c r="C299" s="5"/>
      <c r="D299" s="5"/>
      <c r="E299" s="5"/>
      <c r="F299" s="5"/>
      <c r="G299" s="10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ht="15.75" customHeight="1">
      <c r="A300" s="5"/>
      <c r="B300" s="5"/>
      <c r="C300" s="5"/>
      <c r="D300" s="5"/>
      <c r="E300" s="5"/>
      <c r="F300" s="5"/>
      <c r="G300" s="10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ht="15.75" customHeight="1">
      <c r="A301" s="5"/>
      <c r="B301" s="5"/>
      <c r="C301" s="5"/>
      <c r="D301" s="5"/>
      <c r="E301" s="5"/>
      <c r="F301" s="5"/>
      <c r="G301" s="10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ht="15.75" customHeight="1">
      <c r="A302" s="5"/>
      <c r="B302" s="5"/>
      <c r="C302" s="5"/>
      <c r="D302" s="5"/>
      <c r="E302" s="5"/>
      <c r="F302" s="5"/>
      <c r="G302" s="10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ht="15.75" customHeight="1">
      <c r="A303" s="5"/>
      <c r="B303" s="5"/>
      <c r="C303" s="5"/>
      <c r="D303" s="5"/>
      <c r="E303" s="5"/>
      <c r="F303" s="5"/>
      <c r="G303" s="10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ht="15.75" customHeight="1">
      <c r="A304" s="5"/>
      <c r="B304" s="5"/>
      <c r="C304" s="5"/>
      <c r="D304" s="5"/>
      <c r="E304" s="5"/>
      <c r="F304" s="5"/>
      <c r="G304" s="10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ht="15.75" customHeight="1">
      <c r="A305" s="5"/>
      <c r="B305" s="5"/>
      <c r="C305" s="5"/>
      <c r="D305" s="5"/>
      <c r="E305" s="5"/>
      <c r="F305" s="5"/>
      <c r="G305" s="10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ht="15.75" customHeight="1">
      <c r="A306" s="5"/>
      <c r="B306" s="5"/>
      <c r="C306" s="5"/>
      <c r="D306" s="5"/>
      <c r="E306" s="5"/>
      <c r="F306" s="5"/>
      <c r="G306" s="10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ht="15.75" customHeight="1">
      <c r="A307" s="5"/>
      <c r="B307" s="5"/>
      <c r="C307" s="5"/>
      <c r="D307" s="5"/>
      <c r="E307" s="5"/>
      <c r="F307" s="5"/>
      <c r="G307" s="10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ht="15.75" customHeight="1">
      <c r="A308" s="5"/>
      <c r="B308" s="5"/>
      <c r="C308" s="5"/>
      <c r="D308" s="5"/>
      <c r="E308" s="5"/>
      <c r="F308" s="5"/>
      <c r="G308" s="10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ht="15.75" customHeight="1">
      <c r="A309" s="5"/>
      <c r="B309" s="5"/>
      <c r="C309" s="5"/>
      <c r="D309" s="5"/>
      <c r="E309" s="5"/>
      <c r="F309" s="5"/>
      <c r="G309" s="10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ht="15.75" customHeight="1">
      <c r="A310" s="5"/>
      <c r="B310" s="5"/>
      <c r="C310" s="5"/>
      <c r="D310" s="5"/>
      <c r="E310" s="5"/>
      <c r="F310" s="5"/>
      <c r="G310" s="10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ht="15.75" customHeight="1">
      <c r="A311" s="5"/>
      <c r="B311" s="5"/>
      <c r="C311" s="5"/>
      <c r="D311" s="5"/>
      <c r="E311" s="5"/>
      <c r="F311" s="5"/>
      <c r="G311" s="10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ht="15.75" customHeight="1">
      <c r="A312" s="5"/>
      <c r="B312" s="5"/>
      <c r="C312" s="5"/>
      <c r="D312" s="5"/>
      <c r="E312" s="5"/>
      <c r="F312" s="5"/>
      <c r="G312" s="10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ht="15.75" customHeight="1">
      <c r="A313" s="5"/>
      <c r="B313" s="5"/>
      <c r="C313" s="5"/>
      <c r="D313" s="5"/>
      <c r="E313" s="5"/>
      <c r="F313" s="5"/>
      <c r="G313" s="10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ht="15.75" customHeight="1">
      <c r="A314" s="5"/>
      <c r="B314" s="5"/>
      <c r="C314" s="5"/>
      <c r="D314" s="5"/>
      <c r="E314" s="5"/>
      <c r="F314" s="5"/>
      <c r="G314" s="10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ht="15.75" customHeight="1">
      <c r="A315" s="5"/>
      <c r="B315" s="5"/>
      <c r="C315" s="5"/>
      <c r="D315" s="5"/>
      <c r="E315" s="5"/>
      <c r="F315" s="5"/>
      <c r="G315" s="10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ht="15.75" customHeight="1">
      <c r="A316" s="5"/>
      <c r="B316" s="5"/>
      <c r="C316" s="5"/>
      <c r="D316" s="5"/>
      <c r="E316" s="5"/>
      <c r="F316" s="5"/>
      <c r="G316" s="10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ht="15.75" customHeight="1">
      <c r="A317" s="5"/>
      <c r="B317" s="5"/>
      <c r="C317" s="5"/>
      <c r="D317" s="5"/>
      <c r="E317" s="5"/>
      <c r="F317" s="5"/>
      <c r="G317" s="10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ht="15.75" customHeight="1">
      <c r="A318" s="5"/>
      <c r="B318" s="5"/>
      <c r="C318" s="5"/>
      <c r="D318" s="5"/>
      <c r="E318" s="5"/>
      <c r="F318" s="5"/>
      <c r="G318" s="10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ht="15.75" customHeight="1">
      <c r="A319" s="5"/>
      <c r="B319" s="5"/>
      <c r="C319" s="5"/>
      <c r="D319" s="5"/>
      <c r="E319" s="5"/>
      <c r="F319" s="5"/>
      <c r="G319" s="10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ht="15.75" customHeight="1">
      <c r="A320" s="5"/>
      <c r="B320" s="5"/>
      <c r="C320" s="5"/>
      <c r="D320" s="5"/>
      <c r="E320" s="5"/>
      <c r="F320" s="5"/>
      <c r="G320" s="10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ht="15.75" customHeight="1">
      <c r="A321" s="5"/>
      <c r="B321" s="5"/>
      <c r="C321" s="5"/>
      <c r="D321" s="5"/>
      <c r="E321" s="5"/>
      <c r="F321" s="5"/>
      <c r="G321" s="10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ht="15.75" customHeight="1">
      <c r="A322" s="5"/>
      <c r="B322" s="5"/>
      <c r="C322" s="5"/>
      <c r="D322" s="5"/>
      <c r="E322" s="5"/>
      <c r="F322" s="5"/>
      <c r="G322" s="10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ht="15.75" customHeight="1">
      <c r="A323" s="5"/>
      <c r="B323" s="5"/>
      <c r="C323" s="5"/>
      <c r="D323" s="5"/>
      <c r="E323" s="5"/>
      <c r="F323" s="5"/>
      <c r="G323" s="10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ht="15.75" customHeight="1">
      <c r="A324" s="5"/>
      <c r="B324" s="5"/>
      <c r="C324" s="5"/>
      <c r="D324" s="5"/>
      <c r="E324" s="5"/>
      <c r="F324" s="5"/>
      <c r="G324" s="10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ht="15.75" customHeight="1">
      <c r="A325" s="5"/>
      <c r="B325" s="5"/>
      <c r="C325" s="5"/>
      <c r="D325" s="5"/>
      <c r="E325" s="5"/>
      <c r="F325" s="5"/>
      <c r="G325" s="10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ht="15.75" customHeight="1">
      <c r="A326" s="5"/>
      <c r="B326" s="5"/>
      <c r="C326" s="5"/>
      <c r="D326" s="5"/>
      <c r="E326" s="5"/>
      <c r="F326" s="5"/>
      <c r="G326" s="10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ht="15.75" customHeight="1">
      <c r="A327" s="5"/>
      <c r="B327" s="5"/>
      <c r="C327" s="5"/>
      <c r="D327" s="5"/>
      <c r="E327" s="5"/>
      <c r="F327" s="5"/>
      <c r="G327" s="10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ht="15.75" customHeight="1">
      <c r="A328" s="5"/>
      <c r="B328" s="5"/>
      <c r="C328" s="5"/>
      <c r="D328" s="5"/>
      <c r="E328" s="5"/>
      <c r="F328" s="5"/>
      <c r="G328" s="10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ht="15.75" customHeight="1">
      <c r="A329" s="5"/>
      <c r="B329" s="5"/>
      <c r="C329" s="5"/>
      <c r="D329" s="5"/>
      <c r="E329" s="5"/>
      <c r="F329" s="5"/>
      <c r="G329" s="10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ht="15.75" customHeight="1">
      <c r="A330" s="5"/>
      <c r="B330" s="5"/>
      <c r="C330" s="5"/>
      <c r="D330" s="5"/>
      <c r="E330" s="5"/>
      <c r="F330" s="5"/>
      <c r="G330" s="10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ht="15.75" customHeight="1">
      <c r="A331" s="5"/>
      <c r="B331" s="5"/>
      <c r="C331" s="5"/>
      <c r="D331" s="5"/>
      <c r="E331" s="5"/>
      <c r="F331" s="5"/>
      <c r="G331" s="10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ht="15.75" customHeight="1">
      <c r="A332" s="5"/>
      <c r="B332" s="5"/>
      <c r="C332" s="5"/>
      <c r="D332" s="5"/>
      <c r="E332" s="5"/>
      <c r="F332" s="5"/>
      <c r="G332" s="10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ht="15.75" customHeight="1">
      <c r="A333" s="5"/>
      <c r="B333" s="5"/>
      <c r="C333" s="5"/>
      <c r="D333" s="5"/>
      <c r="E333" s="5"/>
      <c r="F333" s="5"/>
      <c r="G333" s="10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ht="15.75" customHeight="1">
      <c r="A334" s="5"/>
      <c r="B334" s="5"/>
      <c r="C334" s="5"/>
      <c r="D334" s="5"/>
      <c r="E334" s="5"/>
      <c r="F334" s="5"/>
      <c r="G334" s="10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ht="15.75" customHeight="1">
      <c r="A335" s="5"/>
      <c r="B335" s="5"/>
      <c r="C335" s="5"/>
      <c r="D335" s="5"/>
      <c r="E335" s="5"/>
      <c r="F335" s="5"/>
      <c r="G335" s="10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ht="15.75" customHeight="1">
      <c r="A336" s="5"/>
      <c r="B336" s="5"/>
      <c r="C336" s="5"/>
      <c r="D336" s="5"/>
      <c r="E336" s="5"/>
      <c r="F336" s="5"/>
      <c r="G336" s="10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ht="15.75" customHeight="1">
      <c r="A337" s="5"/>
      <c r="B337" s="5"/>
      <c r="C337" s="5"/>
      <c r="D337" s="5"/>
      <c r="E337" s="5"/>
      <c r="F337" s="5"/>
      <c r="G337" s="10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ht="15.75" customHeight="1">
      <c r="A338" s="5"/>
      <c r="B338" s="5"/>
      <c r="C338" s="5"/>
      <c r="D338" s="5"/>
      <c r="E338" s="5"/>
      <c r="F338" s="5"/>
      <c r="G338" s="10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ht="15.75" customHeight="1">
      <c r="A339" s="5"/>
      <c r="B339" s="5"/>
      <c r="C339" s="5"/>
      <c r="D339" s="5"/>
      <c r="E339" s="5"/>
      <c r="F339" s="5"/>
      <c r="G339" s="10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ht="15.75" customHeight="1">
      <c r="A340" s="5"/>
      <c r="B340" s="5"/>
      <c r="C340" s="5"/>
      <c r="D340" s="5"/>
      <c r="E340" s="5"/>
      <c r="F340" s="5"/>
      <c r="G340" s="10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ht="15.75" customHeight="1">
      <c r="A341" s="5"/>
      <c r="B341" s="5"/>
      <c r="C341" s="5"/>
      <c r="D341" s="5"/>
      <c r="E341" s="5"/>
      <c r="F341" s="5"/>
      <c r="G341" s="10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ht="15.75" customHeight="1">
      <c r="A342" s="5"/>
      <c r="B342" s="5"/>
      <c r="C342" s="5"/>
      <c r="D342" s="5"/>
      <c r="E342" s="5"/>
      <c r="F342" s="5"/>
      <c r="G342" s="10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ht="15.75" customHeight="1">
      <c r="A343" s="5"/>
      <c r="B343" s="5"/>
      <c r="C343" s="5"/>
      <c r="D343" s="5"/>
      <c r="E343" s="5"/>
      <c r="F343" s="5"/>
      <c r="G343" s="10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ht="15.75" customHeight="1">
      <c r="A344" s="5"/>
      <c r="B344" s="5"/>
      <c r="C344" s="5"/>
      <c r="D344" s="5"/>
      <c r="E344" s="5"/>
      <c r="F344" s="5"/>
      <c r="G344" s="10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ht="15.75" customHeight="1">
      <c r="A345" s="5"/>
      <c r="B345" s="5"/>
      <c r="C345" s="5"/>
      <c r="D345" s="5"/>
      <c r="E345" s="5"/>
      <c r="F345" s="5"/>
      <c r="G345" s="10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ht="15.75" customHeight="1">
      <c r="A346" s="5"/>
      <c r="B346" s="5"/>
      <c r="C346" s="5"/>
      <c r="D346" s="5"/>
      <c r="E346" s="5"/>
      <c r="F346" s="5"/>
      <c r="G346" s="10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ht="15.75" customHeight="1">
      <c r="A347" s="5"/>
      <c r="B347" s="5"/>
      <c r="C347" s="5"/>
      <c r="D347" s="5"/>
      <c r="E347" s="5"/>
      <c r="F347" s="5"/>
      <c r="G347" s="10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ht="15.75" customHeight="1">
      <c r="A348" s="5"/>
      <c r="B348" s="5"/>
      <c r="C348" s="5"/>
      <c r="D348" s="5"/>
      <c r="E348" s="5"/>
      <c r="F348" s="5"/>
      <c r="G348" s="10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ht="15.75" customHeight="1">
      <c r="A349" s="5"/>
      <c r="B349" s="5"/>
      <c r="C349" s="5"/>
      <c r="D349" s="5"/>
      <c r="E349" s="5"/>
      <c r="F349" s="5"/>
      <c r="G349" s="10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ht="15.75" customHeight="1">
      <c r="A350" s="5"/>
      <c r="B350" s="5"/>
      <c r="C350" s="5"/>
      <c r="D350" s="5"/>
      <c r="E350" s="5"/>
      <c r="F350" s="5"/>
      <c r="G350" s="10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ht="15.75" customHeight="1">
      <c r="A351" s="5"/>
      <c r="B351" s="5"/>
      <c r="C351" s="5"/>
      <c r="D351" s="5"/>
      <c r="E351" s="5"/>
      <c r="F351" s="5"/>
      <c r="G351" s="10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ht="15.75" customHeight="1">
      <c r="A352" s="5"/>
      <c r="B352" s="5"/>
      <c r="C352" s="5"/>
      <c r="D352" s="5"/>
      <c r="E352" s="5"/>
      <c r="F352" s="5"/>
      <c r="G352" s="10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ht="15.75" customHeight="1">
      <c r="A353" s="5"/>
      <c r="B353" s="5"/>
      <c r="C353" s="5"/>
      <c r="D353" s="5"/>
      <c r="E353" s="5"/>
      <c r="F353" s="5"/>
      <c r="G353" s="10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ht="15.75" customHeight="1">
      <c r="A354" s="5"/>
      <c r="B354" s="5"/>
      <c r="C354" s="5"/>
      <c r="D354" s="5"/>
      <c r="E354" s="5"/>
      <c r="F354" s="5"/>
      <c r="G354" s="10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ht="15.75" customHeight="1">
      <c r="A355" s="5"/>
      <c r="B355" s="5"/>
      <c r="C355" s="5"/>
      <c r="D355" s="5"/>
      <c r="E355" s="5"/>
      <c r="F355" s="5"/>
      <c r="G355" s="10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ht="15.75" customHeight="1">
      <c r="A356" s="5"/>
      <c r="B356" s="5"/>
      <c r="C356" s="5"/>
      <c r="D356" s="5"/>
      <c r="E356" s="5"/>
      <c r="F356" s="5"/>
      <c r="G356" s="10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ht="15.75" customHeight="1">
      <c r="A357" s="5"/>
      <c r="B357" s="5"/>
      <c r="C357" s="5"/>
      <c r="D357" s="5"/>
      <c r="E357" s="5"/>
      <c r="F357" s="5"/>
      <c r="G357" s="10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ht="15.75" customHeight="1">
      <c r="A358" s="5"/>
      <c r="B358" s="5"/>
      <c r="C358" s="5"/>
      <c r="D358" s="5"/>
      <c r="E358" s="5"/>
      <c r="F358" s="5"/>
      <c r="G358" s="10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ht="15.75" customHeight="1">
      <c r="A359" s="5"/>
      <c r="B359" s="5"/>
      <c r="C359" s="5"/>
      <c r="D359" s="5"/>
      <c r="E359" s="5"/>
      <c r="F359" s="5"/>
      <c r="G359" s="10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ht="15.75" customHeight="1">
      <c r="A360" s="5"/>
      <c r="B360" s="5"/>
      <c r="C360" s="5"/>
      <c r="D360" s="5"/>
      <c r="E360" s="5"/>
      <c r="F360" s="5"/>
      <c r="G360" s="10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ht="15.75" customHeight="1">
      <c r="A361" s="5"/>
      <c r="B361" s="5"/>
      <c r="C361" s="5"/>
      <c r="D361" s="5"/>
      <c r="E361" s="5"/>
      <c r="F361" s="5"/>
      <c r="G361" s="10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ht="15.75" customHeight="1">
      <c r="A362" s="5"/>
      <c r="B362" s="5"/>
      <c r="C362" s="5"/>
      <c r="D362" s="5"/>
      <c r="E362" s="5"/>
      <c r="F362" s="5"/>
      <c r="G362" s="10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ht="15.75" customHeight="1">
      <c r="A363" s="5"/>
      <c r="B363" s="5"/>
      <c r="C363" s="5"/>
      <c r="D363" s="5"/>
      <c r="E363" s="5"/>
      <c r="F363" s="5"/>
      <c r="G363" s="10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ht="15.75" customHeight="1">
      <c r="A364" s="5"/>
      <c r="B364" s="5"/>
      <c r="C364" s="5"/>
      <c r="D364" s="5"/>
      <c r="E364" s="5"/>
      <c r="F364" s="5"/>
      <c r="G364" s="10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ht="15.75" customHeight="1">
      <c r="A365" s="5"/>
      <c r="B365" s="5"/>
      <c r="C365" s="5"/>
      <c r="D365" s="5"/>
      <c r="E365" s="5"/>
      <c r="F365" s="5"/>
      <c r="G365" s="10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ht="15.75" customHeight="1">
      <c r="A366" s="5"/>
      <c r="B366" s="5"/>
      <c r="C366" s="5"/>
      <c r="D366" s="5"/>
      <c r="E366" s="5"/>
      <c r="F366" s="5"/>
      <c r="G366" s="10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ht="15.75" customHeight="1">
      <c r="A367" s="5"/>
      <c r="B367" s="5"/>
      <c r="C367" s="5"/>
      <c r="D367" s="5"/>
      <c r="E367" s="5"/>
      <c r="F367" s="5"/>
      <c r="G367" s="10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ht="15.75" customHeight="1">
      <c r="A368" s="5"/>
      <c r="B368" s="5"/>
      <c r="C368" s="5"/>
      <c r="D368" s="5"/>
      <c r="E368" s="5"/>
      <c r="F368" s="5"/>
      <c r="G368" s="10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ht="15.75" customHeight="1">
      <c r="A369" s="5"/>
      <c r="B369" s="5"/>
      <c r="C369" s="5"/>
      <c r="D369" s="5"/>
      <c r="E369" s="5"/>
      <c r="F369" s="5"/>
      <c r="G369" s="10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ht="15.75" customHeight="1">
      <c r="A370" s="5"/>
      <c r="B370" s="5"/>
      <c r="C370" s="5"/>
      <c r="D370" s="5"/>
      <c r="E370" s="5"/>
      <c r="F370" s="5"/>
      <c r="G370" s="10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ht="15.75" customHeight="1">
      <c r="A371" s="5"/>
      <c r="B371" s="5"/>
      <c r="C371" s="5"/>
      <c r="D371" s="5"/>
      <c r="E371" s="5"/>
      <c r="F371" s="5"/>
      <c r="G371" s="10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ht="15.75" customHeight="1">
      <c r="A372" s="5"/>
      <c r="B372" s="5"/>
      <c r="C372" s="5"/>
      <c r="D372" s="5"/>
      <c r="E372" s="5"/>
      <c r="F372" s="5"/>
      <c r="G372" s="10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ht="15.75" customHeight="1">
      <c r="A373" s="5"/>
      <c r="B373" s="5"/>
      <c r="C373" s="5"/>
      <c r="D373" s="5"/>
      <c r="E373" s="5"/>
      <c r="F373" s="5"/>
      <c r="G373" s="10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ht="15.75" customHeight="1">
      <c r="A374" s="5"/>
      <c r="B374" s="5"/>
      <c r="C374" s="5"/>
      <c r="D374" s="5"/>
      <c r="E374" s="5"/>
      <c r="F374" s="5"/>
      <c r="G374" s="10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ht="15.75" customHeight="1">
      <c r="A375" s="5"/>
      <c r="B375" s="5"/>
      <c r="C375" s="5"/>
      <c r="D375" s="5"/>
      <c r="E375" s="5"/>
      <c r="F375" s="5"/>
      <c r="G375" s="10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ht="15.75" customHeight="1">
      <c r="A376" s="5"/>
      <c r="B376" s="5"/>
      <c r="C376" s="5"/>
      <c r="D376" s="5"/>
      <c r="E376" s="5"/>
      <c r="F376" s="5"/>
      <c r="G376" s="10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ht="15.75" customHeight="1">
      <c r="A377" s="5"/>
      <c r="B377" s="5"/>
      <c r="C377" s="5"/>
      <c r="D377" s="5"/>
      <c r="E377" s="5"/>
      <c r="F377" s="5"/>
      <c r="G377" s="10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ht="15.75" customHeight="1">
      <c r="A378" s="5"/>
      <c r="B378" s="5"/>
      <c r="C378" s="5"/>
      <c r="D378" s="5"/>
      <c r="E378" s="5"/>
      <c r="F378" s="5"/>
      <c r="G378" s="10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ht="15.75" customHeight="1">
      <c r="A379" s="5"/>
      <c r="B379" s="5"/>
      <c r="C379" s="5"/>
      <c r="D379" s="5"/>
      <c r="E379" s="5"/>
      <c r="F379" s="5"/>
      <c r="G379" s="10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ht="15.75" customHeight="1">
      <c r="A380" s="5"/>
      <c r="B380" s="5"/>
      <c r="C380" s="5"/>
      <c r="D380" s="5"/>
      <c r="E380" s="5"/>
      <c r="F380" s="5"/>
      <c r="G380" s="10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ht="15.75" customHeight="1">
      <c r="A381" s="5"/>
      <c r="B381" s="5"/>
      <c r="C381" s="5"/>
      <c r="D381" s="5"/>
      <c r="E381" s="5"/>
      <c r="F381" s="5"/>
      <c r="G381" s="10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ht="15.75" customHeight="1">
      <c r="A382" s="5"/>
      <c r="B382" s="5"/>
      <c r="C382" s="5"/>
      <c r="D382" s="5"/>
      <c r="E382" s="5"/>
      <c r="F382" s="5"/>
      <c r="G382" s="1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ht="15.75" customHeight="1">
      <c r="A383" s="5"/>
      <c r="B383" s="5"/>
      <c r="C383" s="5"/>
      <c r="D383" s="5"/>
      <c r="E383" s="5"/>
      <c r="F383" s="5"/>
      <c r="G383" s="1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ht="15.75" customHeight="1">
      <c r="A384" s="5"/>
      <c r="B384" s="5"/>
      <c r="C384" s="5"/>
      <c r="D384" s="5"/>
      <c r="E384" s="5"/>
      <c r="F384" s="5"/>
      <c r="G384" s="1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ht="15.75" customHeight="1">
      <c r="A385" s="5"/>
      <c r="B385" s="5"/>
      <c r="C385" s="5"/>
      <c r="D385" s="5"/>
      <c r="E385" s="5"/>
      <c r="F385" s="5"/>
      <c r="G385" s="10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ht="15.75" customHeight="1">
      <c r="A386" s="5"/>
      <c r="B386" s="5"/>
      <c r="C386" s="5"/>
      <c r="D386" s="5"/>
      <c r="E386" s="5"/>
      <c r="F386" s="5"/>
      <c r="G386" s="10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ht="15.75" customHeight="1">
      <c r="A387" s="5"/>
      <c r="B387" s="5"/>
      <c r="C387" s="5"/>
      <c r="D387" s="5"/>
      <c r="E387" s="5"/>
      <c r="F387" s="5"/>
      <c r="G387" s="10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ht="15.75" customHeight="1">
      <c r="A388" s="5"/>
      <c r="B388" s="5"/>
      <c r="C388" s="5"/>
      <c r="D388" s="5"/>
      <c r="E388" s="5"/>
      <c r="F388" s="5"/>
      <c r="G388" s="10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ht="15.75" customHeight="1">
      <c r="A389" s="5"/>
      <c r="B389" s="5"/>
      <c r="C389" s="5"/>
      <c r="D389" s="5"/>
      <c r="E389" s="5"/>
      <c r="F389" s="5"/>
      <c r="G389" s="10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ht="15.75" customHeight="1">
      <c r="A390" s="5"/>
      <c r="B390" s="5"/>
      <c r="C390" s="5"/>
      <c r="D390" s="5"/>
      <c r="E390" s="5"/>
      <c r="F390" s="5"/>
      <c r="G390" s="10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ht="15.75" customHeight="1">
      <c r="A391" s="5"/>
      <c r="B391" s="5"/>
      <c r="C391" s="5"/>
      <c r="D391" s="5"/>
      <c r="E391" s="5"/>
      <c r="F391" s="5"/>
      <c r="G391" s="1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ht="15.75" customHeight="1">
      <c r="A392" s="5"/>
      <c r="B392" s="5"/>
      <c r="C392" s="5"/>
      <c r="D392" s="5"/>
      <c r="E392" s="5"/>
      <c r="F392" s="5"/>
      <c r="G392" s="10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ht="15.75" customHeight="1">
      <c r="A393" s="5"/>
      <c r="B393" s="5"/>
      <c r="C393" s="5"/>
      <c r="D393" s="5"/>
      <c r="E393" s="5"/>
      <c r="F393" s="5"/>
      <c r="G393" s="1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ht="15.75" customHeight="1">
      <c r="A394" s="5"/>
      <c r="B394" s="5"/>
      <c r="C394" s="5"/>
      <c r="D394" s="5"/>
      <c r="E394" s="5"/>
      <c r="F394" s="5"/>
      <c r="G394" s="1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ht="15.75" customHeight="1">
      <c r="A395" s="5"/>
      <c r="B395" s="5"/>
      <c r="C395" s="5"/>
      <c r="D395" s="5"/>
      <c r="E395" s="5"/>
      <c r="F395" s="5"/>
      <c r="G395" s="1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ht="15.75" customHeight="1">
      <c r="A396" s="5"/>
      <c r="B396" s="5"/>
      <c r="C396" s="5"/>
      <c r="D396" s="5"/>
      <c r="E396" s="5"/>
      <c r="F396" s="5"/>
      <c r="G396" s="1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ht="15.75" customHeight="1">
      <c r="A397" s="5"/>
      <c r="B397" s="5"/>
      <c r="C397" s="5"/>
      <c r="D397" s="5"/>
      <c r="E397" s="5"/>
      <c r="F397" s="5"/>
      <c r="G397" s="10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ht="15.75" customHeight="1">
      <c r="A398" s="5"/>
      <c r="B398" s="5"/>
      <c r="C398" s="5"/>
      <c r="D398" s="5"/>
      <c r="E398" s="5"/>
      <c r="F398" s="5"/>
      <c r="G398" s="10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ht="15.75" customHeight="1">
      <c r="A399" s="5"/>
      <c r="B399" s="5"/>
      <c r="C399" s="5"/>
      <c r="D399" s="5"/>
      <c r="E399" s="5"/>
      <c r="F399" s="5"/>
      <c r="G399" s="1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ht="15.75" customHeight="1">
      <c r="A400" s="5"/>
      <c r="B400" s="5"/>
      <c r="C400" s="5"/>
      <c r="D400" s="5"/>
      <c r="E400" s="5"/>
      <c r="F400" s="5"/>
      <c r="G400" s="1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ht="15.75" customHeight="1">
      <c r="A401" s="5"/>
      <c r="B401" s="5"/>
      <c r="C401" s="5"/>
      <c r="D401" s="5"/>
      <c r="E401" s="5"/>
      <c r="F401" s="5"/>
      <c r="G401" s="10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ht="15.75" customHeight="1">
      <c r="A402" s="5"/>
      <c r="B402" s="5"/>
      <c r="C402" s="5"/>
      <c r="D402" s="5"/>
      <c r="E402" s="5"/>
      <c r="F402" s="5"/>
      <c r="G402" s="1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ht="15.75" customHeight="1">
      <c r="A403" s="5"/>
      <c r="B403" s="5"/>
      <c r="C403" s="5"/>
      <c r="D403" s="5"/>
      <c r="E403" s="5"/>
      <c r="F403" s="5"/>
      <c r="G403" s="1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ht="15.75" customHeight="1">
      <c r="A404" s="5"/>
      <c r="B404" s="5"/>
      <c r="C404" s="5"/>
      <c r="D404" s="5"/>
      <c r="E404" s="5"/>
      <c r="F404" s="5"/>
      <c r="G404" s="10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ht="15.75" customHeight="1">
      <c r="A405" s="5"/>
      <c r="B405" s="5"/>
      <c r="C405" s="5"/>
      <c r="D405" s="5"/>
      <c r="E405" s="5"/>
      <c r="F405" s="5"/>
      <c r="G405" s="1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ht="15.75" customHeight="1">
      <c r="A406" s="5"/>
      <c r="B406" s="5"/>
      <c r="C406" s="5"/>
      <c r="D406" s="5"/>
      <c r="E406" s="5"/>
      <c r="F406" s="5"/>
      <c r="G406" s="10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ht="15.75" customHeight="1">
      <c r="A407" s="5"/>
      <c r="B407" s="5"/>
      <c r="C407" s="5"/>
      <c r="D407" s="5"/>
      <c r="E407" s="5"/>
      <c r="F407" s="5"/>
      <c r="G407" s="1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ht="15.75" customHeight="1">
      <c r="A408" s="5"/>
      <c r="B408" s="5"/>
      <c r="C408" s="5"/>
      <c r="D408" s="5"/>
      <c r="E408" s="5"/>
      <c r="F408" s="5"/>
      <c r="G408" s="1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ht="15.75" customHeight="1">
      <c r="A409" s="5"/>
      <c r="B409" s="5"/>
      <c r="C409" s="5"/>
      <c r="D409" s="5"/>
      <c r="E409" s="5"/>
      <c r="F409" s="5"/>
      <c r="G409" s="1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ht="15.75" customHeight="1">
      <c r="A410" s="5"/>
      <c r="B410" s="5"/>
      <c r="C410" s="5"/>
      <c r="D410" s="5"/>
      <c r="E410" s="5"/>
      <c r="F410" s="5"/>
      <c r="G410" s="10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ht="15.75" customHeight="1">
      <c r="A411" s="5"/>
      <c r="B411" s="5"/>
      <c r="C411" s="5"/>
      <c r="D411" s="5"/>
      <c r="E411" s="5"/>
      <c r="F411" s="5"/>
      <c r="G411" s="10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ht="15.75" customHeight="1">
      <c r="A412" s="5"/>
      <c r="B412" s="5"/>
      <c r="C412" s="5"/>
      <c r="D412" s="5"/>
      <c r="E412" s="5"/>
      <c r="F412" s="5"/>
      <c r="G412" s="1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ht="15.75" customHeight="1">
      <c r="A413" s="5"/>
      <c r="B413" s="5"/>
      <c r="C413" s="5"/>
      <c r="D413" s="5"/>
      <c r="E413" s="5"/>
      <c r="F413" s="5"/>
      <c r="G413" s="1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ht="15.75" customHeight="1">
      <c r="A414" s="5"/>
      <c r="B414" s="5"/>
      <c r="C414" s="5"/>
      <c r="D414" s="5"/>
      <c r="E414" s="5"/>
      <c r="F414" s="5"/>
      <c r="G414" s="1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ht="15.75" customHeight="1">
      <c r="A415" s="5"/>
      <c r="B415" s="5"/>
      <c r="C415" s="5"/>
      <c r="D415" s="5"/>
      <c r="E415" s="5"/>
      <c r="F415" s="5"/>
      <c r="G415" s="1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ht="15.75" customHeight="1">
      <c r="A416" s="5"/>
      <c r="B416" s="5"/>
      <c r="C416" s="5"/>
      <c r="D416" s="5"/>
      <c r="E416" s="5"/>
      <c r="F416" s="5"/>
      <c r="G416" s="1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ht="15.75" customHeight="1">
      <c r="A417" s="5"/>
      <c r="B417" s="5"/>
      <c r="C417" s="5"/>
      <c r="D417" s="5"/>
      <c r="E417" s="5"/>
      <c r="F417" s="5"/>
      <c r="G417" s="1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ht="15.75" customHeight="1">
      <c r="A418" s="5"/>
      <c r="B418" s="5"/>
      <c r="C418" s="5"/>
      <c r="D418" s="5"/>
      <c r="E418" s="5"/>
      <c r="F418" s="5"/>
      <c r="G418" s="10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ht="15.75" customHeight="1">
      <c r="A419" s="5"/>
      <c r="B419" s="5"/>
      <c r="C419" s="5"/>
      <c r="D419" s="5"/>
      <c r="E419" s="5"/>
      <c r="F419" s="5"/>
      <c r="G419" s="10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ht="15.75" customHeight="1">
      <c r="A420" s="5"/>
      <c r="B420" s="5"/>
      <c r="C420" s="5"/>
      <c r="D420" s="5"/>
      <c r="E420" s="5"/>
      <c r="F420" s="5"/>
      <c r="G420" s="10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ht="15.75" customHeight="1">
      <c r="A421" s="5"/>
      <c r="B421" s="5"/>
      <c r="C421" s="5"/>
      <c r="D421" s="5"/>
      <c r="E421" s="5"/>
      <c r="F421" s="5"/>
      <c r="G421" s="10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ht="15.75" customHeight="1">
      <c r="A422" s="5"/>
      <c r="B422" s="5"/>
      <c r="C422" s="5"/>
      <c r="D422" s="5"/>
      <c r="E422" s="5"/>
      <c r="F422" s="5"/>
      <c r="G422" s="10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ht="15.75" customHeight="1">
      <c r="A423" s="5"/>
      <c r="B423" s="5"/>
      <c r="C423" s="5"/>
      <c r="D423" s="5"/>
      <c r="E423" s="5"/>
      <c r="F423" s="5"/>
      <c r="G423" s="10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ht="15.75" customHeight="1">
      <c r="A424" s="5"/>
      <c r="B424" s="5"/>
      <c r="C424" s="5"/>
      <c r="D424" s="5"/>
      <c r="E424" s="5"/>
      <c r="F424" s="5"/>
      <c r="G424" s="10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ht="15.75" customHeight="1">
      <c r="A425" s="5"/>
      <c r="B425" s="5"/>
      <c r="C425" s="5"/>
      <c r="D425" s="5"/>
      <c r="E425" s="5"/>
      <c r="F425" s="5"/>
      <c r="G425" s="10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ht="15.75" customHeight="1">
      <c r="A426" s="5"/>
      <c r="B426" s="5"/>
      <c r="C426" s="5"/>
      <c r="D426" s="5"/>
      <c r="E426" s="5"/>
      <c r="F426" s="5"/>
      <c r="G426" s="10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ht="15.75" customHeight="1">
      <c r="A427" s="5"/>
      <c r="B427" s="5"/>
      <c r="C427" s="5"/>
      <c r="D427" s="5"/>
      <c r="E427" s="5"/>
      <c r="F427" s="5"/>
      <c r="G427" s="10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ht="15.75" customHeight="1">
      <c r="A428" s="5"/>
      <c r="B428" s="5"/>
      <c r="C428" s="5"/>
      <c r="D428" s="5"/>
      <c r="E428" s="5"/>
      <c r="F428" s="5"/>
      <c r="G428" s="10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ht="15.75" customHeight="1">
      <c r="A429" s="5"/>
      <c r="B429" s="5"/>
      <c r="C429" s="5"/>
      <c r="D429" s="5"/>
      <c r="E429" s="5"/>
      <c r="F429" s="5"/>
      <c r="G429" s="10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ht="15.75" customHeight="1">
      <c r="A430" s="5"/>
      <c r="B430" s="5"/>
      <c r="C430" s="5"/>
      <c r="D430" s="5"/>
      <c r="E430" s="5"/>
      <c r="F430" s="5"/>
      <c r="G430" s="10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ht="15.75" customHeight="1">
      <c r="A431" s="5"/>
      <c r="B431" s="5"/>
      <c r="C431" s="5"/>
      <c r="D431" s="5"/>
      <c r="E431" s="5"/>
      <c r="F431" s="5"/>
      <c r="G431" s="10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ht="15.75" customHeight="1">
      <c r="A432" s="5"/>
      <c r="B432" s="5"/>
      <c r="C432" s="5"/>
      <c r="D432" s="5"/>
      <c r="E432" s="5"/>
      <c r="F432" s="5"/>
      <c r="G432" s="10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ht="15.75" customHeight="1">
      <c r="A433" s="5"/>
      <c r="B433" s="5"/>
      <c r="C433" s="5"/>
      <c r="D433" s="5"/>
      <c r="E433" s="5"/>
      <c r="F433" s="5"/>
      <c r="G433" s="10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ht="15.75" customHeight="1">
      <c r="A434" s="5"/>
      <c r="B434" s="5"/>
      <c r="C434" s="5"/>
      <c r="D434" s="5"/>
      <c r="E434" s="5"/>
      <c r="F434" s="5"/>
      <c r="G434" s="10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ht="15.75" customHeight="1">
      <c r="A435" s="5"/>
      <c r="B435" s="5"/>
      <c r="C435" s="5"/>
      <c r="D435" s="5"/>
      <c r="E435" s="5"/>
      <c r="F435" s="5"/>
      <c r="G435" s="10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ht="15.75" customHeight="1">
      <c r="A436" s="5"/>
      <c r="B436" s="5"/>
      <c r="C436" s="5"/>
      <c r="D436" s="5"/>
      <c r="E436" s="5"/>
      <c r="F436" s="5"/>
      <c r="G436" s="10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ht="15.75" customHeight="1">
      <c r="A437" s="5"/>
      <c r="B437" s="5"/>
      <c r="C437" s="5"/>
      <c r="D437" s="5"/>
      <c r="E437" s="5"/>
      <c r="F437" s="5"/>
      <c r="G437" s="10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ht="15.75" customHeight="1">
      <c r="A438" s="5"/>
      <c r="B438" s="5"/>
      <c r="C438" s="5"/>
      <c r="D438" s="5"/>
      <c r="E438" s="5"/>
      <c r="F438" s="5"/>
      <c r="G438" s="10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ht="15.75" customHeight="1">
      <c r="A439" s="5"/>
      <c r="B439" s="5"/>
      <c r="C439" s="5"/>
      <c r="D439" s="5"/>
      <c r="E439" s="5"/>
      <c r="F439" s="5"/>
      <c r="G439" s="10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ht="15.75" customHeight="1">
      <c r="A440" s="5"/>
      <c r="B440" s="5"/>
      <c r="C440" s="5"/>
      <c r="D440" s="5"/>
      <c r="E440" s="5"/>
      <c r="F440" s="5"/>
      <c r="G440" s="10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ht="15.75" customHeight="1">
      <c r="A441" s="5"/>
      <c r="B441" s="5"/>
      <c r="C441" s="5"/>
      <c r="D441" s="5"/>
      <c r="E441" s="5"/>
      <c r="F441" s="5"/>
      <c r="G441" s="10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ht="15.75" customHeight="1">
      <c r="A442" s="5"/>
      <c r="B442" s="5"/>
      <c r="C442" s="5"/>
      <c r="D442" s="5"/>
      <c r="E442" s="5"/>
      <c r="F442" s="5"/>
      <c r="G442" s="10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ht="15.75" customHeight="1">
      <c r="A443" s="5"/>
      <c r="B443" s="5"/>
      <c r="C443" s="5"/>
      <c r="D443" s="5"/>
      <c r="E443" s="5"/>
      <c r="F443" s="5"/>
      <c r="G443" s="1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ht="15.75" customHeight="1">
      <c r="A444" s="5"/>
      <c r="B444" s="5"/>
      <c r="C444" s="5"/>
      <c r="D444" s="5"/>
      <c r="E444" s="5"/>
      <c r="F444" s="5"/>
      <c r="G444" s="1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ht="15.75" customHeight="1">
      <c r="A445" s="5"/>
      <c r="B445" s="5"/>
      <c r="C445" s="5"/>
      <c r="D445" s="5"/>
      <c r="E445" s="5"/>
      <c r="F445" s="5"/>
      <c r="G445" s="1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ht="15.75" customHeight="1">
      <c r="A446" s="5"/>
      <c r="B446" s="5"/>
      <c r="C446" s="5"/>
      <c r="D446" s="5"/>
      <c r="E446" s="5"/>
      <c r="F446" s="5"/>
      <c r="G446" s="10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ht="15.75" customHeight="1">
      <c r="A447" s="5"/>
      <c r="B447" s="5"/>
      <c r="C447" s="5"/>
      <c r="D447" s="5"/>
      <c r="E447" s="5"/>
      <c r="F447" s="5"/>
      <c r="G447" s="10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ht="15.75" customHeight="1">
      <c r="A448" s="5"/>
      <c r="B448" s="5"/>
      <c r="C448" s="5"/>
      <c r="D448" s="5"/>
      <c r="E448" s="5"/>
      <c r="F448" s="5"/>
      <c r="G448" s="10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ht="15.75" customHeight="1">
      <c r="A449" s="5"/>
      <c r="B449" s="5"/>
      <c r="C449" s="5"/>
      <c r="D449" s="5"/>
      <c r="E449" s="5"/>
      <c r="F449" s="5"/>
      <c r="G449" s="10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ht="15.75" customHeight="1">
      <c r="A450" s="5"/>
      <c r="B450" s="5"/>
      <c r="C450" s="5"/>
      <c r="D450" s="5"/>
      <c r="E450" s="5"/>
      <c r="F450" s="5"/>
      <c r="G450" s="10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ht="15.75" customHeight="1">
      <c r="A451" s="5"/>
      <c r="B451" s="5"/>
      <c r="C451" s="5"/>
      <c r="D451" s="5"/>
      <c r="E451" s="5"/>
      <c r="F451" s="5"/>
      <c r="G451" s="10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ht="15.75" customHeight="1">
      <c r="A452" s="5"/>
      <c r="B452" s="5"/>
      <c r="C452" s="5"/>
      <c r="D452" s="5"/>
      <c r="E452" s="5"/>
      <c r="F452" s="5"/>
      <c r="G452" s="10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ht="15.75" customHeight="1">
      <c r="A453" s="5"/>
      <c r="B453" s="5"/>
      <c r="C453" s="5"/>
      <c r="D453" s="5"/>
      <c r="E453" s="5"/>
      <c r="F453" s="5"/>
      <c r="G453" s="10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ht="15.75" customHeight="1">
      <c r="A454" s="5"/>
      <c r="B454" s="5"/>
      <c r="C454" s="5"/>
      <c r="D454" s="5"/>
      <c r="E454" s="5"/>
      <c r="F454" s="5"/>
      <c r="G454" s="10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ht="15.75" customHeight="1">
      <c r="A455" s="5"/>
      <c r="B455" s="5"/>
      <c r="C455" s="5"/>
      <c r="D455" s="5"/>
      <c r="E455" s="5"/>
      <c r="F455" s="5"/>
      <c r="G455" s="10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ht="15.75" customHeight="1">
      <c r="A456" s="5"/>
      <c r="B456" s="5"/>
      <c r="C456" s="5"/>
      <c r="D456" s="5"/>
      <c r="E456" s="5"/>
      <c r="F456" s="5"/>
      <c r="G456" s="10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ht="15.75" customHeight="1">
      <c r="A457" s="5"/>
      <c r="B457" s="5"/>
      <c r="C457" s="5"/>
      <c r="D457" s="5"/>
      <c r="E457" s="5"/>
      <c r="F457" s="5"/>
      <c r="G457" s="10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ht="15.75" customHeight="1">
      <c r="A458" s="5"/>
      <c r="B458" s="5"/>
      <c r="C458" s="5"/>
      <c r="D458" s="5"/>
      <c r="E458" s="5"/>
      <c r="F458" s="5"/>
      <c r="G458" s="10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ht="15.75" customHeight="1">
      <c r="A459" s="5"/>
      <c r="B459" s="5"/>
      <c r="C459" s="5"/>
      <c r="D459" s="5"/>
      <c r="E459" s="5"/>
      <c r="F459" s="5"/>
      <c r="G459" s="10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ht="15.75" customHeight="1">
      <c r="A460" s="5"/>
      <c r="B460" s="5"/>
      <c r="C460" s="5"/>
      <c r="D460" s="5"/>
      <c r="E460" s="5"/>
      <c r="F460" s="5"/>
      <c r="G460" s="10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ht="15.75" customHeight="1">
      <c r="A461" s="5"/>
      <c r="B461" s="5"/>
      <c r="C461" s="5"/>
      <c r="D461" s="5"/>
      <c r="E461" s="5"/>
      <c r="F461" s="5"/>
      <c r="G461" s="10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ht="15.75" customHeight="1">
      <c r="A462" s="5"/>
      <c r="B462" s="5"/>
      <c r="C462" s="5"/>
      <c r="D462" s="5"/>
      <c r="E462" s="5"/>
      <c r="F462" s="5"/>
      <c r="G462" s="10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ht="15.75" customHeight="1">
      <c r="A463" s="5"/>
      <c r="B463" s="5"/>
      <c r="C463" s="5"/>
      <c r="D463" s="5"/>
      <c r="E463" s="5"/>
      <c r="F463" s="5"/>
      <c r="G463" s="10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ht="15.75" customHeight="1">
      <c r="A464" s="5"/>
      <c r="B464" s="5"/>
      <c r="C464" s="5"/>
      <c r="D464" s="5"/>
      <c r="E464" s="5"/>
      <c r="F464" s="5"/>
      <c r="G464" s="10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ht="15.75" customHeight="1">
      <c r="A465" s="5"/>
      <c r="B465" s="5"/>
      <c r="C465" s="5"/>
      <c r="D465" s="5"/>
      <c r="E465" s="5"/>
      <c r="F465" s="5"/>
      <c r="G465" s="10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ht="15.75" customHeight="1">
      <c r="A466" s="5"/>
      <c r="B466" s="5"/>
      <c r="C466" s="5"/>
      <c r="D466" s="5"/>
      <c r="E466" s="5"/>
      <c r="F466" s="5"/>
      <c r="G466" s="10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ht="15.75" customHeight="1">
      <c r="A467" s="5"/>
      <c r="B467" s="5"/>
      <c r="C467" s="5"/>
      <c r="D467" s="5"/>
      <c r="E467" s="5"/>
      <c r="F467" s="5"/>
      <c r="G467" s="10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ht="15.75" customHeight="1">
      <c r="A468" s="5"/>
      <c r="B468" s="5"/>
      <c r="C468" s="5"/>
      <c r="D468" s="5"/>
      <c r="E468" s="5"/>
      <c r="F468" s="5"/>
      <c r="G468" s="10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ht="15.75" customHeight="1">
      <c r="A469" s="5"/>
      <c r="B469" s="5"/>
      <c r="C469" s="5"/>
      <c r="D469" s="5"/>
      <c r="E469" s="5"/>
      <c r="F469" s="5"/>
      <c r="G469" s="10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ht="15.75" customHeight="1">
      <c r="A470" s="5"/>
      <c r="B470" s="5"/>
      <c r="C470" s="5"/>
      <c r="D470" s="5"/>
      <c r="E470" s="5"/>
      <c r="F470" s="5"/>
      <c r="G470" s="10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ht="15.75" customHeight="1">
      <c r="A471" s="5"/>
      <c r="B471" s="5"/>
      <c r="C471" s="5"/>
      <c r="D471" s="5"/>
      <c r="E471" s="5"/>
      <c r="F471" s="5"/>
      <c r="G471" s="10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ht="15.75" customHeight="1">
      <c r="A472" s="5"/>
      <c r="B472" s="5"/>
      <c r="C472" s="5"/>
      <c r="D472" s="5"/>
      <c r="E472" s="5"/>
      <c r="F472" s="5"/>
      <c r="G472" s="10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ht="15.75" customHeight="1">
      <c r="A473" s="5"/>
      <c r="B473" s="5"/>
      <c r="C473" s="5"/>
      <c r="D473" s="5"/>
      <c r="E473" s="5"/>
      <c r="F473" s="5"/>
      <c r="G473" s="10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ht="15.75" customHeight="1">
      <c r="A474" s="5"/>
      <c r="B474" s="5"/>
      <c r="C474" s="5"/>
      <c r="D474" s="5"/>
      <c r="E474" s="5"/>
      <c r="F474" s="5"/>
      <c r="G474" s="10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ht="15.75" customHeight="1">
      <c r="A475" s="5"/>
      <c r="B475" s="5"/>
      <c r="C475" s="5"/>
      <c r="D475" s="5"/>
      <c r="E475" s="5"/>
      <c r="F475" s="5"/>
      <c r="G475" s="10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ht="15.75" customHeight="1">
      <c r="A476" s="5"/>
      <c r="B476" s="5"/>
      <c r="C476" s="5"/>
      <c r="D476" s="5"/>
      <c r="E476" s="5"/>
      <c r="F476" s="5"/>
      <c r="G476" s="10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ht="15.75" customHeight="1">
      <c r="A477" s="5"/>
      <c r="B477" s="5"/>
      <c r="C477" s="5"/>
      <c r="D477" s="5"/>
      <c r="E477" s="5"/>
      <c r="F477" s="5"/>
      <c r="G477" s="10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ht="15.75" customHeight="1">
      <c r="A478" s="5"/>
      <c r="B478" s="5"/>
      <c r="C478" s="5"/>
      <c r="D478" s="5"/>
      <c r="E478" s="5"/>
      <c r="F478" s="5"/>
      <c r="G478" s="10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ht="15.75" customHeight="1">
      <c r="A479" s="5"/>
      <c r="B479" s="5"/>
      <c r="C479" s="5"/>
      <c r="D479" s="5"/>
      <c r="E479" s="5"/>
      <c r="F479" s="5"/>
      <c r="G479" s="10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ht="15.75" customHeight="1">
      <c r="A480" s="5"/>
      <c r="B480" s="5"/>
      <c r="C480" s="5"/>
      <c r="D480" s="5"/>
      <c r="E480" s="5"/>
      <c r="F480" s="5"/>
      <c r="G480" s="10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ht="15.75" customHeight="1">
      <c r="A481" s="5"/>
      <c r="B481" s="5"/>
      <c r="C481" s="5"/>
      <c r="D481" s="5"/>
      <c r="E481" s="5"/>
      <c r="F481" s="5"/>
      <c r="G481" s="10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ht="15.75" customHeight="1">
      <c r="A482" s="5"/>
      <c r="B482" s="5"/>
      <c r="C482" s="5"/>
      <c r="D482" s="5"/>
      <c r="E482" s="5"/>
      <c r="F482" s="5"/>
      <c r="G482" s="10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ht="15.75" customHeight="1">
      <c r="A483" s="5"/>
      <c r="B483" s="5"/>
      <c r="C483" s="5"/>
      <c r="D483" s="5"/>
      <c r="E483" s="5"/>
      <c r="F483" s="5"/>
      <c r="G483" s="10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ht="15.75" customHeight="1">
      <c r="A484" s="5"/>
      <c r="B484" s="5"/>
      <c r="C484" s="5"/>
      <c r="D484" s="5"/>
      <c r="E484" s="5"/>
      <c r="F484" s="5"/>
      <c r="G484" s="10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ht="15.75" customHeight="1">
      <c r="A485" s="5"/>
      <c r="B485" s="5"/>
      <c r="C485" s="5"/>
      <c r="D485" s="5"/>
      <c r="E485" s="5"/>
      <c r="F485" s="5"/>
      <c r="G485" s="10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ht="15.75" customHeight="1">
      <c r="A486" s="5"/>
      <c r="B486" s="5"/>
      <c r="C486" s="5"/>
      <c r="D486" s="5"/>
      <c r="E486" s="5"/>
      <c r="F486" s="5"/>
      <c r="G486" s="10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ht="15.75" customHeight="1">
      <c r="A487" s="5"/>
      <c r="B487" s="5"/>
      <c r="C487" s="5"/>
      <c r="D487" s="5"/>
      <c r="E487" s="5"/>
      <c r="F487" s="5"/>
      <c r="G487" s="10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ht="15.75" customHeight="1">
      <c r="A488" s="5"/>
      <c r="B488" s="5"/>
      <c r="C488" s="5"/>
      <c r="D488" s="5"/>
      <c r="E488" s="5"/>
      <c r="F488" s="5"/>
      <c r="G488" s="10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ht="15.75" customHeight="1">
      <c r="A489" s="5"/>
      <c r="B489" s="5"/>
      <c r="C489" s="5"/>
      <c r="D489" s="5"/>
      <c r="E489" s="5"/>
      <c r="F489" s="5"/>
      <c r="G489" s="10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ht="15.75" customHeight="1">
      <c r="A490" s="5"/>
      <c r="B490" s="5"/>
      <c r="C490" s="5"/>
      <c r="D490" s="5"/>
      <c r="E490" s="5"/>
      <c r="F490" s="5"/>
      <c r="G490" s="10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ht="15.75" customHeight="1">
      <c r="A491" s="5"/>
      <c r="B491" s="5"/>
      <c r="C491" s="5"/>
      <c r="D491" s="5"/>
      <c r="E491" s="5"/>
      <c r="F491" s="5"/>
      <c r="G491" s="10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ht="15.75" customHeight="1">
      <c r="A492" s="5"/>
      <c r="B492" s="5"/>
      <c r="C492" s="5"/>
      <c r="D492" s="5"/>
      <c r="E492" s="5"/>
      <c r="F492" s="5"/>
      <c r="G492" s="10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ht="15.75" customHeight="1">
      <c r="A493" s="5"/>
      <c r="B493" s="5"/>
      <c r="C493" s="5"/>
      <c r="D493" s="5"/>
      <c r="E493" s="5"/>
      <c r="F493" s="5"/>
      <c r="G493" s="10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ht="15.75" customHeight="1">
      <c r="A494" s="5"/>
      <c r="B494" s="5"/>
      <c r="C494" s="5"/>
      <c r="D494" s="5"/>
      <c r="E494" s="5"/>
      <c r="F494" s="5"/>
      <c r="G494" s="10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ht="15.75" customHeight="1">
      <c r="A495" s="5"/>
      <c r="B495" s="5"/>
      <c r="C495" s="5"/>
      <c r="D495" s="5"/>
      <c r="E495" s="5"/>
      <c r="F495" s="5"/>
      <c r="G495" s="10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ht="15.75" customHeight="1">
      <c r="A496" s="5"/>
      <c r="B496" s="5"/>
      <c r="C496" s="5"/>
      <c r="D496" s="5"/>
      <c r="E496" s="5"/>
      <c r="F496" s="5"/>
      <c r="G496" s="10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ht="15.75" customHeight="1">
      <c r="A497" s="5"/>
      <c r="B497" s="5"/>
      <c r="C497" s="5"/>
      <c r="D497" s="5"/>
      <c r="E497" s="5"/>
      <c r="F497" s="5"/>
      <c r="G497" s="10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ht="15.75" customHeight="1">
      <c r="A498" s="5"/>
      <c r="B498" s="5"/>
      <c r="C498" s="5"/>
      <c r="D498" s="5"/>
      <c r="E498" s="5"/>
      <c r="F498" s="5"/>
      <c r="G498" s="10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ht="15.75" customHeight="1">
      <c r="A499" s="5"/>
      <c r="B499" s="5"/>
      <c r="C499" s="5"/>
      <c r="D499" s="5"/>
      <c r="E499" s="5"/>
      <c r="F499" s="5"/>
      <c r="G499" s="10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ht="15.75" customHeight="1">
      <c r="A500" s="5"/>
      <c r="B500" s="5"/>
      <c r="C500" s="5"/>
      <c r="D500" s="5"/>
      <c r="E500" s="5"/>
      <c r="F500" s="5"/>
      <c r="G500" s="10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ht="15.75" customHeight="1">
      <c r="A501" s="5"/>
      <c r="B501" s="5"/>
      <c r="C501" s="5"/>
      <c r="D501" s="5"/>
      <c r="E501" s="5"/>
      <c r="F501" s="5"/>
      <c r="G501" s="10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ht="15.75" customHeight="1">
      <c r="A502" s="5"/>
      <c r="B502" s="5"/>
      <c r="C502" s="5"/>
      <c r="D502" s="5"/>
      <c r="E502" s="5"/>
      <c r="F502" s="5"/>
      <c r="G502" s="10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ht="15.75" customHeight="1">
      <c r="A503" s="5"/>
      <c r="B503" s="5"/>
      <c r="C503" s="5"/>
      <c r="D503" s="5"/>
      <c r="E503" s="5"/>
      <c r="F503" s="5"/>
      <c r="G503" s="10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ht="15.75" customHeight="1">
      <c r="A504" s="5"/>
      <c r="B504" s="5"/>
      <c r="C504" s="5"/>
      <c r="D504" s="5"/>
      <c r="E504" s="5"/>
      <c r="F504" s="5"/>
      <c r="G504" s="10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ht="15.75" customHeight="1">
      <c r="A505" s="5"/>
      <c r="B505" s="5"/>
      <c r="C505" s="5"/>
      <c r="D505" s="5"/>
      <c r="E505" s="5"/>
      <c r="F505" s="5"/>
      <c r="G505" s="10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ht="15.75" customHeight="1">
      <c r="A506" s="5"/>
      <c r="B506" s="5"/>
      <c r="C506" s="5"/>
      <c r="D506" s="5"/>
      <c r="E506" s="5"/>
      <c r="F506" s="5"/>
      <c r="G506" s="10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ht="15.75" customHeight="1">
      <c r="A507" s="5"/>
      <c r="B507" s="5"/>
      <c r="C507" s="5"/>
      <c r="D507" s="5"/>
      <c r="E507" s="5"/>
      <c r="F507" s="5"/>
      <c r="G507" s="10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ht="15.75" customHeight="1">
      <c r="A508" s="5"/>
      <c r="B508" s="5"/>
      <c r="C508" s="5"/>
      <c r="D508" s="5"/>
      <c r="E508" s="5"/>
      <c r="F508" s="5"/>
      <c r="G508" s="10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ht="15.75" customHeight="1">
      <c r="A509" s="5"/>
      <c r="B509" s="5"/>
      <c r="C509" s="5"/>
      <c r="D509" s="5"/>
      <c r="E509" s="5"/>
      <c r="F509" s="5"/>
      <c r="G509" s="10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ht="15.75" customHeight="1">
      <c r="A510" s="5"/>
      <c r="B510" s="5"/>
      <c r="C510" s="5"/>
      <c r="D510" s="5"/>
      <c r="E510" s="5"/>
      <c r="F510" s="5"/>
      <c r="G510" s="10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ht="15.75" customHeight="1">
      <c r="A511" s="5"/>
      <c r="B511" s="5"/>
      <c r="C511" s="5"/>
      <c r="D511" s="5"/>
      <c r="E511" s="5"/>
      <c r="F511" s="5"/>
      <c r="G511" s="10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ht="15.75" customHeight="1">
      <c r="A512" s="5"/>
      <c r="B512" s="5"/>
      <c r="C512" s="5"/>
      <c r="D512" s="5"/>
      <c r="E512" s="5"/>
      <c r="F512" s="5"/>
      <c r="G512" s="10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ht="15.75" customHeight="1">
      <c r="A513" s="5"/>
      <c r="B513" s="5"/>
      <c r="C513" s="5"/>
      <c r="D513" s="5"/>
      <c r="E513" s="5"/>
      <c r="F513" s="5"/>
      <c r="G513" s="10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ht="15.75" customHeight="1">
      <c r="A514" s="5"/>
      <c r="B514" s="5"/>
      <c r="C514" s="5"/>
      <c r="D514" s="5"/>
      <c r="E514" s="5"/>
      <c r="F514" s="5"/>
      <c r="G514" s="10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ht="15.75" customHeight="1">
      <c r="A515" s="5"/>
      <c r="B515" s="5"/>
      <c r="C515" s="5"/>
      <c r="D515" s="5"/>
      <c r="E515" s="5"/>
      <c r="F515" s="5"/>
      <c r="G515" s="10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ht="15.75" customHeight="1">
      <c r="A516" s="5"/>
      <c r="B516" s="5"/>
      <c r="C516" s="5"/>
      <c r="D516" s="5"/>
      <c r="E516" s="5"/>
      <c r="F516" s="5"/>
      <c r="G516" s="10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ht="15.75" customHeight="1">
      <c r="A517" s="5"/>
      <c r="B517" s="5"/>
      <c r="C517" s="5"/>
      <c r="D517" s="5"/>
      <c r="E517" s="5"/>
      <c r="F517" s="5"/>
      <c r="G517" s="10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ht="15.75" customHeight="1">
      <c r="A518" s="5"/>
      <c r="B518" s="5"/>
      <c r="C518" s="5"/>
      <c r="D518" s="5"/>
      <c r="E518" s="5"/>
      <c r="F518" s="5"/>
      <c r="G518" s="10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ht="15.75" customHeight="1">
      <c r="A519" s="5"/>
      <c r="B519" s="5"/>
      <c r="C519" s="5"/>
      <c r="D519" s="5"/>
      <c r="E519" s="5"/>
      <c r="F519" s="5"/>
      <c r="G519" s="10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ht="15.75" customHeight="1">
      <c r="A520" s="5"/>
      <c r="B520" s="5"/>
      <c r="C520" s="5"/>
      <c r="D520" s="5"/>
      <c r="E520" s="5"/>
      <c r="F520" s="5"/>
      <c r="G520" s="10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ht="15.75" customHeight="1">
      <c r="A521" s="5"/>
      <c r="B521" s="5"/>
      <c r="C521" s="5"/>
      <c r="D521" s="5"/>
      <c r="E521" s="5"/>
      <c r="F521" s="5"/>
      <c r="G521" s="10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ht="15.75" customHeight="1">
      <c r="A522" s="5"/>
      <c r="B522" s="5"/>
      <c r="C522" s="5"/>
      <c r="D522" s="5"/>
      <c r="E522" s="5"/>
      <c r="F522" s="5"/>
      <c r="G522" s="10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ht="15.75" customHeight="1">
      <c r="A523" s="5"/>
      <c r="B523" s="5"/>
      <c r="C523" s="5"/>
      <c r="D523" s="5"/>
      <c r="E523" s="5"/>
      <c r="F523" s="5"/>
      <c r="G523" s="10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ht="15.75" customHeight="1">
      <c r="A524" s="5"/>
      <c r="B524" s="5"/>
      <c r="C524" s="5"/>
      <c r="D524" s="5"/>
      <c r="E524" s="5"/>
      <c r="F524" s="5"/>
      <c r="G524" s="10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ht="15.75" customHeight="1">
      <c r="A525" s="5"/>
      <c r="B525" s="5"/>
      <c r="C525" s="5"/>
      <c r="D525" s="5"/>
      <c r="E525" s="5"/>
      <c r="F525" s="5"/>
      <c r="G525" s="10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ht="15.75" customHeight="1">
      <c r="A526" s="5"/>
      <c r="B526" s="5"/>
      <c r="C526" s="5"/>
      <c r="D526" s="5"/>
      <c r="E526" s="5"/>
      <c r="F526" s="5"/>
      <c r="G526" s="10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ht="15.75" customHeight="1">
      <c r="A527" s="5"/>
      <c r="B527" s="5"/>
      <c r="C527" s="5"/>
      <c r="D527" s="5"/>
      <c r="E527" s="5"/>
      <c r="F527" s="5"/>
      <c r="G527" s="10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ht="15.75" customHeight="1">
      <c r="A528" s="5"/>
      <c r="B528" s="5"/>
      <c r="C528" s="5"/>
      <c r="D528" s="5"/>
      <c r="E528" s="5"/>
      <c r="F528" s="5"/>
      <c r="G528" s="10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ht="15.75" customHeight="1">
      <c r="A529" s="5"/>
      <c r="B529" s="5"/>
      <c r="C529" s="5"/>
      <c r="D529" s="5"/>
      <c r="E529" s="5"/>
      <c r="F529" s="5"/>
      <c r="G529" s="10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ht="15.75" customHeight="1">
      <c r="A530" s="5"/>
      <c r="B530" s="5"/>
      <c r="C530" s="5"/>
      <c r="D530" s="5"/>
      <c r="E530" s="5"/>
      <c r="F530" s="5"/>
      <c r="G530" s="10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ht="15.75" customHeight="1">
      <c r="A531" s="5"/>
      <c r="B531" s="5"/>
      <c r="C531" s="5"/>
      <c r="D531" s="5"/>
      <c r="E531" s="5"/>
      <c r="F531" s="5"/>
      <c r="G531" s="10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ht="15.75" customHeight="1">
      <c r="A532" s="5"/>
      <c r="B532" s="5"/>
      <c r="C532" s="5"/>
      <c r="D532" s="5"/>
      <c r="E532" s="5"/>
      <c r="F532" s="5"/>
      <c r="G532" s="10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ht="15.75" customHeight="1">
      <c r="A533" s="5"/>
      <c r="B533" s="5"/>
      <c r="C533" s="5"/>
      <c r="D533" s="5"/>
      <c r="E533" s="5"/>
      <c r="F533" s="5"/>
      <c r="G533" s="10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ht="15.75" customHeight="1">
      <c r="A534" s="5"/>
      <c r="B534" s="5"/>
      <c r="C534" s="5"/>
      <c r="D534" s="5"/>
      <c r="E534" s="5"/>
      <c r="F534" s="5"/>
      <c r="G534" s="10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ht="15.75" customHeight="1">
      <c r="A535" s="5"/>
      <c r="B535" s="5"/>
      <c r="C535" s="5"/>
      <c r="D535" s="5"/>
      <c r="E535" s="5"/>
      <c r="F535" s="5"/>
      <c r="G535" s="10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ht="15.75" customHeight="1">
      <c r="A536" s="5"/>
      <c r="B536" s="5"/>
      <c r="C536" s="5"/>
      <c r="D536" s="5"/>
      <c r="E536" s="5"/>
      <c r="F536" s="5"/>
      <c r="G536" s="10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ht="15.75" customHeight="1">
      <c r="A537" s="5"/>
      <c r="B537" s="5"/>
      <c r="C537" s="5"/>
      <c r="D537" s="5"/>
      <c r="E537" s="5"/>
      <c r="F537" s="5"/>
      <c r="G537" s="10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ht="15.75" customHeight="1">
      <c r="A538" s="5"/>
      <c r="B538" s="5"/>
      <c r="C538" s="5"/>
      <c r="D538" s="5"/>
      <c r="E538" s="5"/>
      <c r="F538" s="5"/>
      <c r="G538" s="10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ht="15.75" customHeight="1">
      <c r="A539" s="5"/>
      <c r="B539" s="5"/>
      <c r="C539" s="5"/>
      <c r="D539" s="5"/>
      <c r="E539" s="5"/>
      <c r="F539" s="5"/>
      <c r="G539" s="10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ht="15.75" customHeight="1">
      <c r="A540" s="5"/>
      <c r="B540" s="5"/>
      <c r="C540" s="5"/>
      <c r="D540" s="5"/>
      <c r="E540" s="5"/>
      <c r="F540" s="5"/>
      <c r="G540" s="10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ht="15.75" customHeight="1">
      <c r="A541" s="5"/>
      <c r="B541" s="5"/>
      <c r="C541" s="5"/>
      <c r="D541" s="5"/>
      <c r="E541" s="5"/>
      <c r="F541" s="5"/>
      <c r="G541" s="10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ht="15.75" customHeight="1">
      <c r="A542" s="5"/>
      <c r="B542" s="5"/>
      <c r="C542" s="5"/>
      <c r="D542" s="5"/>
      <c r="E542" s="5"/>
      <c r="F542" s="5"/>
      <c r="G542" s="10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ht="15.75" customHeight="1">
      <c r="A543" s="5"/>
      <c r="B543" s="5"/>
      <c r="C543" s="5"/>
      <c r="D543" s="5"/>
      <c r="E543" s="5"/>
      <c r="F543" s="5"/>
      <c r="G543" s="10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ht="15.75" customHeight="1">
      <c r="A544" s="5"/>
      <c r="B544" s="5"/>
      <c r="C544" s="5"/>
      <c r="D544" s="5"/>
      <c r="E544" s="5"/>
      <c r="F544" s="5"/>
      <c r="G544" s="10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ht="15.75" customHeight="1">
      <c r="A545" s="5"/>
      <c r="B545" s="5"/>
      <c r="C545" s="5"/>
      <c r="D545" s="5"/>
      <c r="E545" s="5"/>
      <c r="F545" s="5"/>
      <c r="G545" s="10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ht="15.75" customHeight="1">
      <c r="A546" s="5"/>
      <c r="B546" s="5"/>
      <c r="C546" s="5"/>
      <c r="D546" s="5"/>
      <c r="E546" s="5"/>
      <c r="F546" s="5"/>
      <c r="G546" s="10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ht="15.75" customHeight="1">
      <c r="A547" s="5"/>
      <c r="B547" s="5"/>
      <c r="C547" s="5"/>
      <c r="D547" s="5"/>
      <c r="E547" s="5"/>
      <c r="F547" s="5"/>
      <c r="G547" s="10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ht="15.75" customHeight="1">
      <c r="A548" s="5"/>
      <c r="B548" s="5"/>
      <c r="C548" s="5"/>
      <c r="D548" s="5"/>
      <c r="E548" s="5"/>
      <c r="F548" s="5"/>
      <c r="G548" s="10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ht="15.75" customHeight="1">
      <c r="A549" s="5"/>
      <c r="B549" s="5"/>
      <c r="C549" s="5"/>
      <c r="D549" s="5"/>
      <c r="E549" s="5"/>
      <c r="F549" s="5"/>
      <c r="G549" s="10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ht="15.75" customHeight="1">
      <c r="A550" s="5"/>
      <c r="B550" s="5"/>
      <c r="C550" s="5"/>
      <c r="D550" s="5"/>
      <c r="E550" s="5"/>
      <c r="F550" s="5"/>
      <c r="G550" s="10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ht="15.75" customHeight="1">
      <c r="A551" s="5"/>
      <c r="B551" s="5"/>
      <c r="C551" s="5"/>
      <c r="D551" s="5"/>
      <c r="E551" s="5"/>
      <c r="F551" s="5"/>
      <c r="G551" s="10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ht="15.75" customHeight="1">
      <c r="A552" s="5"/>
      <c r="B552" s="5"/>
      <c r="C552" s="5"/>
      <c r="D552" s="5"/>
      <c r="E552" s="5"/>
      <c r="F552" s="5"/>
      <c r="G552" s="10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ht="15.75" customHeight="1">
      <c r="A553" s="5"/>
      <c r="B553" s="5"/>
      <c r="C553" s="5"/>
      <c r="D553" s="5"/>
      <c r="E553" s="5"/>
      <c r="F553" s="5"/>
      <c r="G553" s="10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ht="15.75" customHeight="1">
      <c r="A554" s="5"/>
      <c r="B554" s="5"/>
      <c r="C554" s="5"/>
      <c r="D554" s="5"/>
      <c r="E554" s="5"/>
      <c r="F554" s="5"/>
      <c r="G554" s="10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ht="15.75" customHeight="1">
      <c r="A555" s="5"/>
      <c r="B555" s="5"/>
      <c r="C555" s="5"/>
      <c r="D555" s="5"/>
      <c r="E555" s="5"/>
      <c r="F555" s="5"/>
      <c r="G555" s="10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ht="15.75" customHeight="1">
      <c r="A556" s="5"/>
      <c r="B556" s="5"/>
      <c r="C556" s="5"/>
      <c r="D556" s="5"/>
      <c r="E556" s="5"/>
      <c r="F556" s="5"/>
      <c r="G556" s="10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ht="15.75" customHeight="1">
      <c r="A557" s="5"/>
      <c r="B557" s="5"/>
      <c r="C557" s="5"/>
      <c r="D557" s="5"/>
      <c r="E557" s="5"/>
      <c r="F557" s="5"/>
      <c r="G557" s="10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ht="15.75" customHeight="1">
      <c r="A558" s="5"/>
      <c r="B558" s="5"/>
      <c r="C558" s="5"/>
      <c r="D558" s="5"/>
      <c r="E558" s="5"/>
      <c r="F558" s="5"/>
      <c r="G558" s="10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ht="15.75" customHeight="1">
      <c r="A559" s="5"/>
      <c r="B559" s="5"/>
      <c r="C559" s="5"/>
      <c r="D559" s="5"/>
      <c r="E559" s="5"/>
      <c r="F559" s="5"/>
      <c r="G559" s="10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ht="15.75" customHeight="1">
      <c r="A560" s="5"/>
      <c r="B560" s="5"/>
      <c r="C560" s="5"/>
      <c r="D560" s="5"/>
      <c r="E560" s="5"/>
      <c r="F560" s="5"/>
      <c r="G560" s="10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ht="15.75" customHeight="1">
      <c r="A561" s="5"/>
      <c r="B561" s="5"/>
      <c r="C561" s="5"/>
      <c r="D561" s="5"/>
      <c r="E561" s="5"/>
      <c r="F561" s="5"/>
      <c r="G561" s="10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ht="15.75" customHeight="1">
      <c r="A562" s="5"/>
      <c r="B562" s="5"/>
      <c r="C562" s="5"/>
      <c r="D562" s="5"/>
      <c r="E562" s="5"/>
      <c r="F562" s="5"/>
      <c r="G562" s="10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ht="15.75" customHeight="1">
      <c r="A563" s="5"/>
      <c r="B563" s="5"/>
      <c r="C563" s="5"/>
      <c r="D563" s="5"/>
      <c r="E563" s="5"/>
      <c r="F563" s="5"/>
      <c r="G563" s="10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ht="15.75" customHeight="1">
      <c r="A564" s="5"/>
      <c r="B564" s="5"/>
      <c r="C564" s="5"/>
      <c r="D564" s="5"/>
      <c r="E564" s="5"/>
      <c r="F564" s="5"/>
      <c r="G564" s="10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ht="15.75" customHeight="1">
      <c r="A565" s="5"/>
      <c r="B565" s="5"/>
      <c r="C565" s="5"/>
      <c r="D565" s="5"/>
      <c r="E565" s="5"/>
      <c r="F565" s="5"/>
      <c r="G565" s="10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ht="15.75" customHeight="1">
      <c r="A566" s="5"/>
      <c r="B566" s="5"/>
      <c r="C566" s="5"/>
      <c r="D566" s="5"/>
      <c r="E566" s="5"/>
      <c r="F566" s="5"/>
      <c r="G566" s="10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ht="15.75" customHeight="1">
      <c r="A567" s="5"/>
      <c r="B567" s="5"/>
      <c r="C567" s="5"/>
      <c r="D567" s="5"/>
      <c r="E567" s="5"/>
      <c r="F567" s="5"/>
      <c r="G567" s="10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ht="15.75" customHeight="1">
      <c r="A568" s="5"/>
      <c r="B568" s="5"/>
      <c r="C568" s="5"/>
      <c r="D568" s="5"/>
      <c r="E568" s="5"/>
      <c r="F568" s="5"/>
      <c r="G568" s="10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ht="15.75" customHeight="1">
      <c r="A569" s="5"/>
      <c r="B569" s="5"/>
      <c r="C569" s="5"/>
      <c r="D569" s="5"/>
      <c r="E569" s="5"/>
      <c r="F569" s="5"/>
      <c r="G569" s="10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ht="15.75" customHeight="1">
      <c r="A570" s="5"/>
      <c r="B570" s="5"/>
      <c r="C570" s="5"/>
      <c r="D570" s="5"/>
      <c r="E570" s="5"/>
      <c r="F570" s="5"/>
      <c r="G570" s="10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ht="15.75" customHeight="1">
      <c r="A571" s="5"/>
      <c r="B571" s="5"/>
      <c r="C571" s="5"/>
      <c r="D571" s="5"/>
      <c r="E571" s="5"/>
      <c r="F571" s="5"/>
      <c r="G571" s="10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ht="15.75" customHeight="1">
      <c r="A572" s="5"/>
      <c r="B572" s="5"/>
      <c r="C572" s="5"/>
      <c r="D572" s="5"/>
      <c r="E572" s="5"/>
      <c r="F572" s="5"/>
      <c r="G572" s="10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ht="15.75" customHeight="1">
      <c r="A573" s="5"/>
      <c r="B573" s="5"/>
      <c r="C573" s="5"/>
      <c r="D573" s="5"/>
      <c r="E573" s="5"/>
      <c r="F573" s="5"/>
      <c r="G573" s="10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ht="15.75" customHeight="1">
      <c r="A574" s="5"/>
      <c r="B574" s="5"/>
      <c r="C574" s="5"/>
      <c r="D574" s="5"/>
      <c r="E574" s="5"/>
      <c r="F574" s="5"/>
      <c r="G574" s="10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ht="15.75" customHeight="1">
      <c r="A575" s="5"/>
      <c r="B575" s="5"/>
      <c r="C575" s="5"/>
      <c r="D575" s="5"/>
      <c r="E575" s="5"/>
      <c r="F575" s="5"/>
      <c r="G575" s="10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ht="15.75" customHeight="1">
      <c r="A576" s="5"/>
      <c r="B576" s="5"/>
      <c r="C576" s="5"/>
      <c r="D576" s="5"/>
      <c r="E576" s="5"/>
      <c r="F576" s="5"/>
      <c r="G576" s="10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ht="15.75" customHeight="1">
      <c r="A577" s="5"/>
      <c r="B577" s="5"/>
      <c r="C577" s="5"/>
      <c r="D577" s="5"/>
      <c r="E577" s="5"/>
      <c r="F577" s="5"/>
      <c r="G577" s="10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ht="15.75" customHeight="1">
      <c r="A578" s="5"/>
      <c r="B578" s="5"/>
      <c r="C578" s="5"/>
      <c r="D578" s="5"/>
      <c r="E578" s="5"/>
      <c r="F578" s="5"/>
      <c r="G578" s="10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ht="15.75" customHeight="1">
      <c r="A579" s="5"/>
      <c r="B579" s="5"/>
      <c r="C579" s="5"/>
      <c r="D579" s="5"/>
      <c r="E579" s="5"/>
      <c r="F579" s="5"/>
      <c r="G579" s="10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ht="15.75" customHeight="1">
      <c r="A580" s="5"/>
      <c r="B580" s="5"/>
      <c r="C580" s="5"/>
      <c r="D580" s="5"/>
      <c r="E580" s="5"/>
      <c r="F580" s="5"/>
      <c r="G580" s="10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ht="15.75" customHeight="1">
      <c r="A581" s="5"/>
      <c r="B581" s="5"/>
      <c r="C581" s="5"/>
      <c r="D581" s="5"/>
      <c r="E581" s="5"/>
      <c r="F581" s="5"/>
      <c r="G581" s="10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ht="15.75" customHeight="1">
      <c r="A582" s="5"/>
      <c r="B582" s="5"/>
      <c r="C582" s="5"/>
      <c r="D582" s="5"/>
      <c r="E582" s="5"/>
      <c r="F582" s="5"/>
      <c r="G582" s="10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ht="15.75" customHeight="1">
      <c r="A583" s="5"/>
      <c r="B583" s="5"/>
      <c r="C583" s="5"/>
      <c r="D583" s="5"/>
      <c r="E583" s="5"/>
      <c r="F583" s="5"/>
      <c r="G583" s="10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ht="15.75" customHeight="1">
      <c r="A584" s="5"/>
      <c r="B584" s="5"/>
      <c r="C584" s="5"/>
      <c r="D584" s="5"/>
      <c r="E584" s="5"/>
      <c r="F584" s="5"/>
      <c r="G584" s="10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ht="15.75" customHeight="1">
      <c r="A585" s="5"/>
      <c r="B585" s="5"/>
      <c r="C585" s="5"/>
      <c r="D585" s="5"/>
      <c r="E585" s="5"/>
      <c r="F585" s="5"/>
      <c r="G585" s="10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ht="15.75" customHeight="1">
      <c r="A586" s="5"/>
      <c r="B586" s="5"/>
      <c r="C586" s="5"/>
      <c r="D586" s="5"/>
      <c r="E586" s="5"/>
      <c r="F586" s="5"/>
      <c r="G586" s="10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ht="15.75" customHeight="1">
      <c r="A587" s="5"/>
      <c r="B587" s="5"/>
      <c r="C587" s="5"/>
      <c r="D587" s="5"/>
      <c r="E587" s="5"/>
      <c r="F587" s="5"/>
      <c r="G587" s="10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ht="15.75" customHeight="1">
      <c r="A588" s="5"/>
      <c r="B588" s="5"/>
      <c r="C588" s="5"/>
      <c r="D588" s="5"/>
      <c r="E588" s="5"/>
      <c r="F588" s="5"/>
      <c r="G588" s="10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ht="15.75" customHeight="1">
      <c r="A589" s="5"/>
      <c r="B589" s="5"/>
      <c r="C589" s="5"/>
      <c r="D589" s="5"/>
      <c r="E589" s="5"/>
      <c r="F589" s="5"/>
      <c r="G589" s="10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ht="15.75" customHeight="1">
      <c r="A590" s="5"/>
      <c r="B590" s="5"/>
      <c r="C590" s="5"/>
      <c r="D590" s="5"/>
      <c r="E590" s="5"/>
      <c r="F590" s="5"/>
      <c r="G590" s="10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ht="15.75" customHeight="1">
      <c r="A591" s="5"/>
      <c r="B591" s="5"/>
      <c r="C591" s="5"/>
      <c r="D591" s="5"/>
      <c r="E591" s="5"/>
      <c r="F591" s="5"/>
      <c r="G591" s="10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ht="15.75" customHeight="1">
      <c r="A592" s="5"/>
      <c r="B592" s="5"/>
      <c r="C592" s="5"/>
      <c r="D592" s="5"/>
      <c r="E592" s="5"/>
      <c r="F592" s="5"/>
      <c r="G592" s="10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ht="15.75" customHeight="1">
      <c r="A593" s="5"/>
      <c r="B593" s="5"/>
      <c r="C593" s="5"/>
      <c r="D593" s="5"/>
      <c r="E593" s="5"/>
      <c r="F593" s="5"/>
      <c r="G593" s="10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ht="15.75" customHeight="1">
      <c r="A594" s="5"/>
      <c r="B594" s="5"/>
      <c r="C594" s="5"/>
      <c r="D594" s="5"/>
      <c r="E594" s="5"/>
      <c r="F594" s="5"/>
      <c r="G594" s="10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ht="15.75" customHeight="1">
      <c r="A595" s="5"/>
      <c r="B595" s="5"/>
      <c r="C595" s="5"/>
      <c r="D595" s="5"/>
      <c r="E595" s="5"/>
      <c r="F595" s="5"/>
      <c r="G595" s="10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ht="15.75" customHeight="1">
      <c r="A596" s="5"/>
      <c r="B596" s="5"/>
      <c r="C596" s="5"/>
      <c r="D596" s="5"/>
      <c r="E596" s="5"/>
      <c r="F596" s="5"/>
      <c r="G596" s="10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ht="15.75" customHeight="1">
      <c r="A597" s="5"/>
      <c r="B597" s="5"/>
      <c r="C597" s="5"/>
      <c r="D597" s="5"/>
      <c r="E597" s="5"/>
      <c r="F597" s="5"/>
      <c r="G597" s="10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ht="15.75" customHeight="1">
      <c r="A598" s="5"/>
      <c r="B598" s="5"/>
      <c r="C598" s="5"/>
      <c r="D598" s="5"/>
      <c r="E598" s="5"/>
      <c r="F598" s="5"/>
      <c r="G598" s="10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ht="15.75" customHeight="1">
      <c r="A599" s="5"/>
      <c r="B599" s="5"/>
      <c r="C599" s="5"/>
      <c r="D599" s="5"/>
      <c r="E599" s="5"/>
      <c r="F599" s="5"/>
      <c r="G599" s="10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ht="15.75" customHeight="1">
      <c r="A600" s="5"/>
      <c r="B600" s="5"/>
      <c r="C600" s="5"/>
      <c r="D600" s="5"/>
      <c r="E600" s="5"/>
      <c r="F600" s="5"/>
      <c r="G600" s="10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ht="15.75" customHeight="1">
      <c r="A601" s="5"/>
      <c r="B601" s="5"/>
      <c r="C601" s="5"/>
      <c r="D601" s="5"/>
      <c r="E601" s="5"/>
      <c r="F601" s="5"/>
      <c r="G601" s="10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ht="15.75" customHeight="1">
      <c r="A602" s="5"/>
      <c r="B602" s="5"/>
      <c r="C602" s="5"/>
      <c r="D602" s="5"/>
      <c r="E602" s="5"/>
      <c r="F602" s="5"/>
      <c r="G602" s="10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ht="15.75" customHeight="1">
      <c r="A603" s="5"/>
      <c r="B603" s="5"/>
      <c r="C603" s="5"/>
      <c r="D603" s="5"/>
      <c r="E603" s="5"/>
      <c r="F603" s="5"/>
      <c r="G603" s="10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ht="15.75" customHeight="1">
      <c r="A604" s="5"/>
      <c r="B604" s="5"/>
      <c r="C604" s="5"/>
      <c r="D604" s="5"/>
      <c r="E604" s="5"/>
      <c r="F604" s="5"/>
      <c r="G604" s="10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ht="15.75" customHeight="1">
      <c r="A605" s="5"/>
      <c r="B605" s="5"/>
      <c r="C605" s="5"/>
      <c r="D605" s="5"/>
      <c r="E605" s="5"/>
      <c r="F605" s="5"/>
      <c r="G605" s="10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ht="15.75" customHeight="1">
      <c r="A606" s="5"/>
      <c r="B606" s="5"/>
      <c r="C606" s="5"/>
      <c r="D606" s="5"/>
      <c r="E606" s="5"/>
      <c r="F606" s="5"/>
      <c r="G606" s="10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ht="15.75" customHeight="1">
      <c r="A607" s="5"/>
      <c r="B607" s="5"/>
      <c r="C607" s="5"/>
      <c r="D607" s="5"/>
      <c r="E607" s="5"/>
      <c r="F607" s="5"/>
      <c r="G607" s="10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ht="15.75" customHeight="1">
      <c r="A608" s="5"/>
      <c r="B608" s="5"/>
      <c r="C608" s="5"/>
      <c r="D608" s="5"/>
      <c r="E608" s="5"/>
      <c r="F608" s="5"/>
      <c r="G608" s="10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ht="15.75" customHeight="1">
      <c r="A609" s="5"/>
      <c r="B609" s="5"/>
      <c r="C609" s="5"/>
      <c r="D609" s="5"/>
      <c r="E609" s="5"/>
      <c r="F609" s="5"/>
      <c r="G609" s="10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ht="15.75" customHeight="1">
      <c r="A610" s="5"/>
      <c r="B610" s="5"/>
      <c r="C610" s="5"/>
      <c r="D610" s="5"/>
      <c r="E610" s="5"/>
      <c r="F610" s="5"/>
      <c r="G610" s="10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ht="15.75" customHeight="1">
      <c r="A611" s="5"/>
      <c r="B611" s="5"/>
      <c r="C611" s="5"/>
      <c r="D611" s="5"/>
      <c r="E611" s="5"/>
      <c r="F611" s="5"/>
      <c r="G611" s="10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ht="15.75" customHeight="1">
      <c r="A612" s="5"/>
      <c r="B612" s="5"/>
      <c r="C612" s="5"/>
      <c r="D612" s="5"/>
      <c r="E612" s="5"/>
      <c r="F612" s="5"/>
      <c r="G612" s="10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ht="15.75" customHeight="1">
      <c r="A613" s="5"/>
      <c r="B613" s="5"/>
      <c r="C613" s="5"/>
      <c r="D613" s="5"/>
      <c r="E613" s="5"/>
      <c r="F613" s="5"/>
      <c r="G613" s="10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ht="15.75" customHeight="1">
      <c r="A614" s="5"/>
      <c r="B614" s="5"/>
      <c r="C614" s="5"/>
      <c r="D614" s="5"/>
      <c r="E614" s="5"/>
      <c r="F614" s="5"/>
      <c r="G614" s="10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ht="15.75" customHeight="1">
      <c r="A615" s="5"/>
      <c r="B615" s="5"/>
      <c r="C615" s="5"/>
      <c r="D615" s="5"/>
      <c r="E615" s="5"/>
      <c r="F615" s="5"/>
      <c r="G615" s="10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ht="15.75" customHeight="1">
      <c r="A616" s="5"/>
      <c r="B616" s="5"/>
      <c r="C616" s="5"/>
      <c r="D616" s="5"/>
      <c r="E616" s="5"/>
      <c r="F616" s="5"/>
      <c r="G616" s="10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ht="15.75" customHeight="1">
      <c r="A617" s="5"/>
      <c r="B617" s="5"/>
      <c r="C617" s="5"/>
      <c r="D617" s="5"/>
      <c r="E617" s="5"/>
      <c r="F617" s="5"/>
      <c r="G617" s="10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ht="15.75" customHeight="1">
      <c r="A618" s="5"/>
      <c r="B618" s="5"/>
      <c r="C618" s="5"/>
      <c r="D618" s="5"/>
      <c r="E618" s="5"/>
      <c r="F618" s="5"/>
      <c r="G618" s="10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ht="15.75" customHeight="1">
      <c r="A619" s="5"/>
      <c r="B619" s="5"/>
      <c r="C619" s="5"/>
      <c r="D619" s="5"/>
      <c r="E619" s="5"/>
      <c r="F619" s="5"/>
      <c r="G619" s="10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ht="15.75" customHeight="1">
      <c r="A620" s="5"/>
      <c r="B620" s="5"/>
      <c r="C620" s="5"/>
      <c r="D620" s="5"/>
      <c r="E620" s="5"/>
      <c r="F620" s="5"/>
      <c r="G620" s="10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ht="15.75" customHeight="1">
      <c r="A621" s="5"/>
      <c r="B621" s="5"/>
      <c r="C621" s="5"/>
      <c r="D621" s="5"/>
      <c r="E621" s="5"/>
      <c r="F621" s="5"/>
      <c r="G621" s="10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ht="15.75" customHeight="1">
      <c r="A622" s="5"/>
      <c r="B622" s="5"/>
      <c r="C622" s="5"/>
      <c r="D622" s="5"/>
      <c r="E622" s="5"/>
      <c r="F622" s="5"/>
      <c r="G622" s="10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ht="15.75" customHeight="1">
      <c r="A623" s="5"/>
      <c r="B623" s="5"/>
      <c r="C623" s="5"/>
      <c r="D623" s="5"/>
      <c r="E623" s="5"/>
      <c r="F623" s="5"/>
      <c r="G623" s="10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ht="15.75" customHeight="1">
      <c r="A624" s="5"/>
      <c r="B624" s="5"/>
      <c r="C624" s="5"/>
      <c r="D624" s="5"/>
      <c r="E624" s="5"/>
      <c r="F624" s="5"/>
      <c r="G624" s="10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ht="15.75" customHeight="1">
      <c r="A625" s="5"/>
      <c r="B625" s="5"/>
      <c r="C625" s="5"/>
      <c r="D625" s="5"/>
      <c r="E625" s="5"/>
      <c r="F625" s="5"/>
      <c r="G625" s="10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ht="15.75" customHeight="1">
      <c r="A626" s="5"/>
      <c r="B626" s="5"/>
      <c r="C626" s="5"/>
      <c r="D626" s="5"/>
      <c r="E626" s="5"/>
      <c r="F626" s="5"/>
      <c r="G626" s="10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ht="15.75" customHeight="1">
      <c r="A627" s="5"/>
      <c r="B627" s="5"/>
      <c r="C627" s="5"/>
      <c r="D627" s="5"/>
      <c r="E627" s="5"/>
      <c r="F627" s="5"/>
      <c r="G627" s="10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ht="15.75" customHeight="1">
      <c r="A628" s="5"/>
      <c r="B628" s="5"/>
      <c r="C628" s="5"/>
      <c r="D628" s="5"/>
      <c r="E628" s="5"/>
      <c r="F628" s="5"/>
      <c r="G628" s="10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ht="15.75" customHeight="1">
      <c r="A629" s="5"/>
      <c r="B629" s="5"/>
      <c r="C629" s="5"/>
      <c r="D629" s="5"/>
      <c r="E629" s="5"/>
      <c r="F629" s="5"/>
      <c r="G629" s="10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ht="15.75" customHeight="1">
      <c r="A630" s="5"/>
      <c r="B630" s="5"/>
      <c r="C630" s="5"/>
      <c r="D630" s="5"/>
      <c r="E630" s="5"/>
      <c r="F630" s="5"/>
      <c r="G630" s="10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ht="15.75" customHeight="1">
      <c r="A631" s="5"/>
      <c r="B631" s="5"/>
      <c r="C631" s="5"/>
      <c r="D631" s="5"/>
      <c r="E631" s="5"/>
      <c r="F631" s="5"/>
      <c r="G631" s="10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ht="15.75" customHeight="1">
      <c r="A632" s="5"/>
      <c r="B632" s="5"/>
      <c r="C632" s="5"/>
      <c r="D632" s="5"/>
      <c r="E632" s="5"/>
      <c r="F632" s="5"/>
      <c r="G632" s="10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ht="15.75" customHeight="1">
      <c r="A633" s="5"/>
      <c r="B633" s="5"/>
      <c r="C633" s="5"/>
      <c r="D633" s="5"/>
      <c r="E633" s="5"/>
      <c r="F633" s="5"/>
      <c r="G633" s="10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ht="15.75" customHeight="1">
      <c r="A634" s="5"/>
      <c r="B634" s="5"/>
      <c r="C634" s="5"/>
      <c r="D634" s="5"/>
      <c r="E634" s="5"/>
      <c r="F634" s="5"/>
      <c r="G634" s="10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ht="15.75" customHeight="1">
      <c r="A635" s="5"/>
      <c r="B635" s="5"/>
      <c r="C635" s="5"/>
      <c r="D635" s="5"/>
      <c r="E635" s="5"/>
      <c r="F635" s="5"/>
      <c r="G635" s="10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ht="15.75" customHeight="1">
      <c r="A636" s="5"/>
      <c r="B636" s="5"/>
      <c r="C636" s="5"/>
      <c r="D636" s="5"/>
      <c r="E636" s="5"/>
      <c r="F636" s="5"/>
      <c r="G636" s="10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ht="15.75" customHeight="1">
      <c r="A637" s="5"/>
      <c r="B637" s="5"/>
      <c r="C637" s="5"/>
      <c r="D637" s="5"/>
      <c r="E637" s="5"/>
      <c r="F637" s="5"/>
      <c r="G637" s="10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ht="15.75" customHeight="1">
      <c r="A638" s="5"/>
      <c r="B638" s="5"/>
      <c r="C638" s="5"/>
      <c r="D638" s="5"/>
      <c r="E638" s="5"/>
      <c r="F638" s="5"/>
      <c r="G638" s="10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ht="15.75" customHeight="1">
      <c r="A639" s="5"/>
      <c r="B639" s="5"/>
      <c r="C639" s="5"/>
      <c r="D639" s="5"/>
      <c r="E639" s="5"/>
      <c r="F639" s="5"/>
      <c r="G639" s="10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ht="15.75" customHeight="1">
      <c r="A640" s="5"/>
      <c r="B640" s="5"/>
      <c r="C640" s="5"/>
      <c r="D640" s="5"/>
      <c r="E640" s="5"/>
      <c r="F640" s="5"/>
      <c r="G640" s="10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ht="15.75" customHeight="1">
      <c r="A641" s="5"/>
      <c r="B641" s="5"/>
      <c r="C641" s="5"/>
      <c r="D641" s="5"/>
      <c r="E641" s="5"/>
      <c r="F641" s="5"/>
      <c r="G641" s="10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ht="15.75" customHeight="1">
      <c r="A642" s="5"/>
      <c r="B642" s="5"/>
      <c r="C642" s="5"/>
      <c r="D642" s="5"/>
      <c r="E642" s="5"/>
      <c r="F642" s="5"/>
      <c r="G642" s="10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ht="15.75" customHeight="1">
      <c r="A643" s="5"/>
      <c r="B643" s="5"/>
      <c r="C643" s="5"/>
      <c r="D643" s="5"/>
      <c r="E643" s="5"/>
      <c r="F643" s="5"/>
      <c r="G643" s="10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ht="15.75" customHeight="1">
      <c r="A644" s="5"/>
      <c r="B644" s="5"/>
      <c r="C644" s="5"/>
      <c r="D644" s="5"/>
      <c r="E644" s="5"/>
      <c r="F644" s="5"/>
      <c r="G644" s="10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ht="15.75" customHeight="1">
      <c r="A645" s="5"/>
      <c r="B645" s="5"/>
      <c r="C645" s="5"/>
      <c r="D645" s="5"/>
      <c r="E645" s="5"/>
      <c r="F645" s="5"/>
      <c r="G645" s="10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ht="15.75" customHeight="1">
      <c r="A646" s="5"/>
      <c r="B646" s="5"/>
      <c r="C646" s="5"/>
      <c r="D646" s="5"/>
      <c r="E646" s="5"/>
      <c r="F646" s="5"/>
      <c r="G646" s="10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ht="15.75" customHeight="1">
      <c r="A647" s="5"/>
      <c r="B647" s="5"/>
      <c r="C647" s="5"/>
      <c r="D647" s="5"/>
      <c r="E647" s="5"/>
      <c r="F647" s="5"/>
      <c r="G647" s="10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ht="15.75" customHeight="1">
      <c r="A648" s="5"/>
      <c r="B648" s="5"/>
      <c r="C648" s="5"/>
      <c r="D648" s="5"/>
      <c r="E648" s="5"/>
      <c r="F648" s="5"/>
      <c r="G648" s="10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ht="15.75" customHeight="1">
      <c r="A649" s="5"/>
      <c r="B649" s="5"/>
      <c r="C649" s="5"/>
      <c r="D649" s="5"/>
      <c r="E649" s="5"/>
      <c r="F649" s="5"/>
      <c r="G649" s="10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ht="15.75" customHeight="1">
      <c r="A650" s="5"/>
      <c r="B650" s="5"/>
      <c r="C650" s="5"/>
      <c r="D650" s="5"/>
      <c r="E650" s="5"/>
      <c r="F650" s="5"/>
      <c r="G650" s="10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ht="15.75" customHeight="1">
      <c r="A651" s="5"/>
      <c r="B651" s="5"/>
      <c r="C651" s="5"/>
      <c r="D651" s="5"/>
      <c r="E651" s="5"/>
      <c r="F651" s="5"/>
      <c r="G651" s="10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ht="15.75" customHeight="1">
      <c r="A652" s="5"/>
      <c r="B652" s="5"/>
      <c r="C652" s="5"/>
      <c r="D652" s="5"/>
      <c r="E652" s="5"/>
      <c r="F652" s="5"/>
      <c r="G652" s="10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ht="15.75" customHeight="1">
      <c r="A653" s="5"/>
      <c r="B653" s="5"/>
      <c r="C653" s="5"/>
      <c r="D653" s="5"/>
      <c r="E653" s="5"/>
      <c r="F653" s="5"/>
      <c r="G653" s="10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ht="15.75" customHeight="1">
      <c r="A654" s="5"/>
      <c r="B654" s="5"/>
      <c r="C654" s="5"/>
      <c r="D654" s="5"/>
      <c r="E654" s="5"/>
      <c r="F654" s="5"/>
      <c r="G654" s="10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ht="15.75" customHeight="1">
      <c r="A655" s="5"/>
      <c r="B655" s="5"/>
      <c r="C655" s="5"/>
      <c r="D655" s="5"/>
      <c r="E655" s="5"/>
      <c r="F655" s="5"/>
      <c r="G655" s="10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ht="15.75" customHeight="1">
      <c r="A656" s="5"/>
      <c r="B656" s="5"/>
      <c r="C656" s="5"/>
      <c r="D656" s="5"/>
      <c r="E656" s="5"/>
      <c r="F656" s="5"/>
      <c r="G656" s="10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ht="15.75" customHeight="1">
      <c r="A657" s="5"/>
      <c r="B657" s="5"/>
      <c r="C657" s="5"/>
      <c r="D657" s="5"/>
      <c r="E657" s="5"/>
      <c r="F657" s="5"/>
      <c r="G657" s="10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ht="15.75" customHeight="1">
      <c r="A658" s="5"/>
      <c r="B658" s="5"/>
      <c r="C658" s="5"/>
      <c r="D658" s="5"/>
      <c r="E658" s="5"/>
      <c r="F658" s="5"/>
      <c r="G658" s="10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ht="15.75" customHeight="1">
      <c r="A659" s="5"/>
      <c r="B659" s="5"/>
      <c r="C659" s="5"/>
      <c r="D659" s="5"/>
      <c r="E659" s="5"/>
      <c r="F659" s="5"/>
      <c r="G659" s="10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ht="15.75" customHeight="1">
      <c r="A660" s="5"/>
      <c r="B660" s="5"/>
      <c r="C660" s="5"/>
      <c r="D660" s="5"/>
      <c r="E660" s="5"/>
      <c r="F660" s="5"/>
      <c r="G660" s="10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ht="15.75" customHeight="1">
      <c r="A661" s="5"/>
      <c r="B661" s="5"/>
      <c r="C661" s="5"/>
      <c r="D661" s="5"/>
      <c r="E661" s="5"/>
      <c r="F661" s="5"/>
      <c r="G661" s="10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ht="15.75" customHeight="1">
      <c r="A662" s="5"/>
      <c r="B662" s="5"/>
      <c r="C662" s="5"/>
      <c r="D662" s="5"/>
      <c r="E662" s="5"/>
      <c r="F662" s="5"/>
      <c r="G662" s="10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ht="15.75" customHeight="1">
      <c r="A663" s="5"/>
      <c r="B663" s="5"/>
      <c r="C663" s="5"/>
      <c r="D663" s="5"/>
      <c r="E663" s="5"/>
      <c r="F663" s="5"/>
      <c r="G663" s="10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ht="15.75" customHeight="1">
      <c r="A664" s="5"/>
      <c r="B664" s="5"/>
      <c r="C664" s="5"/>
      <c r="D664" s="5"/>
      <c r="E664" s="5"/>
      <c r="F664" s="5"/>
      <c r="G664" s="10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ht="15.75" customHeight="1">
      <c r="A665" s="5"/>
      <c r="B665" s="5"/>
      <c r="C665" s="5"/>
      <c r="D665" s="5"/>
      <c r="E665" s="5"/>
      <c r="F665" s="5"/>
      <c r="G665" s="10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ht="15.75" customHeight="1">
      <c r="A666" s="5"/>
      <c r="B666" s="5"/>
      <c r="C666" s="5"/>
      <c r="D666" s="5"/>
      <c r="E666" s="5"/>
      <c r="F666" s="5"/>
      <c r="G666" s="10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ht="15.75" customHeight="1">
      <c r="A667" s="5"/>
      <c r="B667" s="5"/>
      <c r="C667" s="5"/>
      <c r="D667" s="5"/>
      <c r="E667" s="5"/>
      <c r="F667" s="5"/>
      <c r="G667" s="10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ht="15.75" customHeight="1">
      <c r="A668" s="5"/>
      <c r="B668" s="5"/>
      <c r="C668" s="5"/>
      <c r="D668" s="5"/>
      <c r="E668" s="5"/>
      <c r="F668" s="5"/>
      <c r="G668" s="10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ht="15.75" customHeight="1">
      <c r="A669" s="5"/>
      <c r="B669" s="5"/>
      <c r="C669" s="5"/>
      <c r="D669" s="5"/>
      <c r="E669" s="5"/>
      <c r="F669" s="5"/>
      <c r="G669" s="10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ht="15.75" customHeight="1">
      <c r="A670" s="5"/>
      <c r="B670" s="5"/>
      <c r="C670" s="5"/>
      <c r="D670" s="5"/>
      <c r="E670" s="5"/>
      <c r="F670" s="5"/>
      <c r="G670" s="10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ht="15.75" customHeight="1">
      <c r="A671" s="5"/>
      <c r="B671" s="5"/>
      <c r="C671" s="5"/>
      <c r="D671" s="5"/>
      <c r="E671" s="5"/>
      <c r="F671" s="5"/>
      <c r="G671" s="10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ht="15.75" customHeight="1">
      <c r="A672" s="5"/>
      <c r="B672" s="5"/>
      <c r="C672" s="5"/>
      <c r="D672" s="5"/>
      <c r="E672" s="5"/>
      <c r="F672" s="5"/>
      <c r="G672" s="10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ht="15.75" customHeight="1">
      <c r="A673" s="5"/>
      <c r="B673" s="5"/>
      <c r="C673" s="5"/>
      <c r="D673" s="5"/>
      <c r="E673" s="5"/>
      <c r="F673" s="5"/>
      <c r="G673" s="10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ht="15.75" customHeight="1">
      <c r="A674" s="5"/>
      <c r="B674" s="5"/>
      <c r="C674" s="5"/>
      <c r="D674" s="5"/>
      <c r="E674" s="5"/>
      <c r="F674" s="5"/>
      <c r="G674" s="10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ht="15.75" customHeight="1">
      <c r="A675" s="5"/>
      <c r="B675" s="5"/>
      <c r="C675" s="5"/>
      <c r="D675" s="5"/>
      <c r="E675" s="5"/>
      <c r="F675" s="5"/>
      <c r="G675" s="10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ht="15.75" customHeight="1">
      <c r="A676" s="5"/>
      <c r="B676" s="5"/>
      <c r="C676" s="5"/>
      <c r="D676" s="5"/>
      <c r="E676" s="5"/>
      <c r="F676" s="5"/>
      <c r="G676" s="10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ht="15.75" customHeight="1">
      <c r="A677" s="5"/>
      <c r="B677" s="5"/>
      <c r="C677" s="5"/>
      <c r="D677" s="5"/>
      <c r="E677" s="5"/>
      <c r="F677" s="5"/>
      <c r="G677" s="10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ht="15.75" customHeight="1">
      <c r="A678" s="5"/>
      <c r="B678" s="5"/>
      <c r="C678" s="5"/>
      <c r="D678" s="5"/>
      <c r="E678" s="5"/>
      <c r="F678" s="5"/>
      <c r="G678" s="10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ht="15.75" customHeight="1">
      <c r="A679" s="5"/>
      <c r="B679" s="5"/>
      <c r="C679" s="5"/>
      <c r="D679" s="5"/>
      <c r="E679" s="5"/>
      <c r="F679" s="5"/>
      <c r="G679" s="10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ht="15.75" customHeight="1">
      <c r="A680" s="5"/>
      <c r="B680" s="5"/>
      <c r="C680" s="5"/>
      <c r="D680" s="5"/>
      <c r="E680" s="5"/>
      <c r="F680" s="5"/>
      <c r="G680" s="10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ht="15.75" customHeight="1">
      <c r="A681" s="5"/>
      <c r="B681" s="5"/>
      <c r="C681" s="5"/>
      <c r="D681" s="5"/>
      <c r="E681" s="5"/>
      <c r="F681" s="5"/>
      <c r="G681" s="10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ht="15.75" customHeight="1">
      <c r="A682" s="5"/>
      <c r="B682" s="5"/>
      <c r="C682" s="5"/>
      <c r="D682" s="5"/>
      <c r="E682" s="5"/>
      <c r="F682" s="5"/>
      <c r="G682" s="10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ht="15.75" customHeight="1">
      <c r="A683" s="5"/>
      <c r="B683" s="5"/>
      <c r="C683" s="5"/>
      <c r="D683" s="5"/>
      <c r="E683" s="5"/>
      <c r="F683" s="5"/>
      <c r="G683" s="10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ht="15.75" customHeight="1">
      <c r="A684" s="5"/>
      <c r="B684" s="5"/>
      <c r="C684" s="5"/>
      <c r="D684" s="5"/>
      <c r="E684" s="5"/>
      <c r="F684" s="5"/>
      <c r="G684" s="10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ht="15.75" customHeight="1">
      <c r="A685" s="5"/>
      <c r="B685" s="5"/>
      <c r="C685" s="5"/>
      <c r="D685" s="5"/>
      <c r="E685" s="5"/>
      <c r="F685" s="5"/>
      <c r="G685" s="10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ht="15.75" customHeight="1">
      <c r="A686" s="5"/>
      <c r="B686" s="5"/>
      <c r="C686" s="5"/>
      <c r="D686" s="5"/>
      <c r="E686" s="5"/>
      <c r="F686" s="5"/>
      <c r="G686" s="10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ht="15.75" customHeight="1">
      <c r="A687" s="5"/>
      <c r="B687" s="5"/>
      <c r="C687" s="5"/>
      <c r="D687" s="5"/>
      <c r="E687" s="5"/>
      <c r="F687" s="5"/>
      <c r="G687" s="10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ht="15.75" customHeight="1">
      <c r="A688" s="5"/>
      <c r="B688" s="5"/>
      <c r="C688" s="5"/>
      <c r="D688" s="5"/>
      <c r="E688" s="5"/>
      <c r="F688" s="5"/>
      <c r="G688" s="10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ht="15.75" customHeight="1">
      <c r="A689" s="5"/>
      <c r="B689" s="5"/>
      <c r="C689" s="5"/>
      <c r="D689" s="5"/>
      <c r="E689" s="5"/>
      <c r="F689" s="5"/>
      <c r="G689" s="10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ht="15.75" customHeight="1">
      <c r="A690" s="5"/>
      <c r="B690" s="5"/>
      <c r="C690" s="5"/>
      <c r="D690" s="5"/>
      <c r="E690" s="5"/>
      <c r="F690" s="5"/>
      <c r="G690" s="10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ht="15.75" customHeight="1">
      <c r="A691" s="5"/>
      <c r="B691" s="5"/>
      <c r="C691" s="5"/>
      <c r="D691" s="5"/>
      <c r="E691" s="5"/>
      <c r="F691" s="5"/>
      <c r="G691" s="10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ht="15.75" customHeight="1">
      <c r="A692" s="5"/>
      <c r="B692" s="5"/>
      <c r="C692" s="5"/>
      <c r="D692" s="5"/>
      <c r="E692" s="5"/>
      <c r="F692" s="5"/>
      <c r="G692" s="10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ht="15.75" customHeight="1">
      <c r="A693" s="5"/>
      <c r="B693" s="5"/>
      <c r="C693" s="5"/>
      <c r="D693" s="5"/>
      <c r="E693" s="5"/>
      <c r="F693" s="5"/>
      <c r="G693" s="10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ht="15.75" customHeight="1">
      <c r="A694" s="5"/>
      <c r="B694" s="5"/>
      <c r="C694" s="5"/>
      <c r="D694" s="5"/>
      <c r="E694" s="5"/>
      <c r="F694" s="5"/>
      <c r="G694" s="10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ht="15.75" customHeight="1">
      <c r="A695" s="5"/>
      <c r="B695" s="5"/>
      <c r="C695" s="5"/>
      <c r="D695" s="5"/>
      <c r="E695" s="5"/>
      <c r="F695" s="5"/>
      <c r="G695" s="10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ht="15.75" customHeight="1">
      <c r="A696" s="5"/>
      <c r="B696" s="5"/>
      <c r="C696" s="5"/>
      <c r="D696" s="5"/>
      <c r="E696" s="5"/>
      <c r="F696" s="5"/>
      <c r="G696" s="10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ht="15.75" customHeight="1">
      <c r="A697" s="5"/>
      <c r="B697" s="5"/>
      <c r="C697" s="5"/>
      <c r="D697" s="5"/>
      <c r="E697" s="5"/>
      <c r="F697" s="5"/>
      <c r="G697" s="10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ht="15.75" customHeight="1">
      <c r="A698" s="5"/>
      <c r="B698" s="5"/>
      <c r="C698" s="5"/>
      <c r="D698" s="5"/>
      <c r="E698" s="5"/>
      <c r="F698" s="5"/>
      <c r="G698" s="10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ht="15.75" customHeight="1">
      <c r="A699" s="5"/>
      <c r="B699" s="5"/>
      <c r="C699" s="5"/>
      <c r="D699" s="5"/>
      <c r="E699" s="5"/>
      <c r="F699" s="5"/>
      <c r="G699" s="10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ht="15.75" customHeight="1">
      <c r="A700" s="5"/>
      <c r="B700" s="5"/>
      <c r="C700" s="5"/>
      <c r="D700" s="5"/>
      <c r="E700" s="5"/>
      <c r="F700" s="5"/>
      <c r="G700" s="10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ht="15.75" customHeight="1">
      <c r="A701" s="5"/>
      <c r="B701" s="5"/>
      <c r="C701" s="5"/>
      <c r="D701" s="5"/>
      <c r="E701" s="5"/>
      <c r="F701" s="5"/>
      <c r="G701" s="10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ht="15.75" customHeight="1">
      <c r="A702" s="5"/>
      <c r="B702" s="5"/>
      <c r="C702" s="5"/>
      <c r="D702" s="5"/>
      <c r="E702" s="5"/>
      <c r="F702" s="5"/>
      <c r="G702" s="10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ht="15.75" customHeight="1">
      <c r="A703" s="5"/>
      <c r="B703" s="5"/>
      <c r="C703" s="5"/>
      <c r="D703" s="5"/>
      <c r="E703" s="5"/>
      <c r="F703" s="5"/>
      <c r="G703" s="10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ht="15.75" customHeight="1">
      <c r="A704" s="5"/>
      <c r="B704" s="5"/>
      <c r="C704" s="5"/>
      <c r="D704" s="5"/>
      <c r="E704" s="5"/>
      <c r="F704" s="5"/>
      <c r="G704" s="10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ht="15.75" customHeight="1">
      <c r="A705" s="5"/>
      <c r="B705" s="5"/>
      <c r="C705" s="5"/>
      <c r="D705" s="5"/>
      <c r="E705" s="5"/>
      <c r="F705" s="5"/>
      <c r="G705" s="10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ht="15.75" customHeight="1">
      <c r="A706" s="5"/>
      <c r="B706" s="5"/>
      <c r="C706" s="5"/>
      <c r="D706" s="5"/>
      <c r="E706" s="5"/>
      <c r="F706" s="5"/>
      <c r="G706" s="10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ht="15.75" customHeight="1">
      <c r="A707" s="5"/>
      <c r="B707" s="5"/>
      <c r="C707" s="5"/>
      <c r="D707" s="5"/>
      <c r="E707" s="5"/>
      <c r="F707" s="5"/>
      <c r="G707" s="10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ht="15.75" customHeight="1">
      <c r="A708" s="5"/>
      <c r="B708" s="5"/>
      <c r="C708" s="5"/>
      <c r="D708" s="5"/>
      <c r="E708" s="5"/>
      <c r="F708" s="5"/>
      <c r="G708" s="10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ht="15.75" customHeight="1">
      <c r="A709" s="5"/>
      <c r="B709" s="5"/>
      <c r="C709" s="5"/>
      <c r="D709" s="5"/>
      <c r="E709" s="5"/>
      <c r="F709" s="5"/>
      <c r="G709" s="10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ht="15.75" customHeight="1">
      <c r="A710" s="5"/>
      <c r="B710" s="5"/>
      <c r="C710" s="5"/>
      <c r="D710" s="5"/>
      <c r="E710" s="5"/>
      <c r="F710" s="5"/>
      <c r="G710" s="10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ht="15.75" customHeight="1">
      <c r="A711" s="5"/>
      <c r="B711" s="5"/>
      <c r="C711" s="5"/>
      <c r="D711" s="5"/>
      <c r="E711" s="5"/>
      <c r="F711" s="5"/>
      <c r="G711" s="10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ht="15.75" customHeight="1">
      <c r="A712" s="5"/>
      <c r="B712" s="5"/>
      <c r="C712" s="5"/>
      <c r="D712" s="5"/>
      <c r="E712" s="5"/>
      <c r="F712" s="5"/>
      <c r="G712" s="10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ht="15.75" customHeight="1">
      <c r="A713" s="5"/>
      <c r="B713" s="5"/>
      <c r="C713" s="5"/>
      <c r="D713" s="5"/>
      <c r="E713" s="5"/>
      <c r="F713" s="5"/>
      <c r="G713" s="10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ht="15.75" customHeight="1">
      <c r="A714" s="5"/>
      <c r="B714" s="5"/>
      <c r="C714" s="5"/>
      <c r="D714" s="5"/>
      <c r="E714" s="5"/>
      <c r="F714" s="5"/>
      <c r="G714" s="10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ht="15.75" customHeight="1">
      <c r="A715" s="5"/>
      <c r="B715" s="5"/>
      <c r="C715" s="5"/>
      <c r="D715" s="5"/>
      <c r="E715" s="5"/>
      <c r="F715" s="5"/>
      <c r="G715" s="10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ht="15.75" customHeight="1">
      <c r="A716" s="5"/>
      <c r="B716" s="5"/>
      <c r="C716" s="5"/>
      <c r="D716" s="5"/>
      <c r="E716" s="5"/>
      <c r="F716" s="5"/>
      <c r="G716" s="10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ht="15.75" customHeight="1">
      <c r="A717" s="5"/>
      <c r="B717" s="5"/>
      <c r="C717" s="5"/>
      <c r="D717" s="5"/>
      <c r="E717" s="5"/>
      <c r="F717" s="5"/>
      <c r="G717" s="10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ht="15.75" customHeight="1">
      <c r="A718" s="5"/>
      <c r="B718" s="5"/>
      <c r="C718" s="5"/>
      <c r="D718" s="5"/>
      <c r="E718" s="5"/>
      <c r="F718" s="5"/>
      <c r="G718" s="10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ht="15.75" customHeight="1">
      <c r="A719" s="5"/>
      <c r="B719" s="5"/>
      <c r="C719" s="5"/>
      <c r="D719" s="5"/>
      <c r="E719" s="5"/>
      <c r="F719" s="5"/>
      <c r="G719" s="10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ht="15.75" customHeight="1">
      <c r="A720" s="5"/>
      <c r="B720" s="5"/>
      <c r="C720" s="5"/>
      <c r="D720" s="5"/>
      <c r="E720" s="5"/>
      <c r="F720" s="5"/>
      <c r="G720" s="10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ht="15.75" customHeight="1">
      <c r="A721" s="5"/>
      <c r="B721" s="5"/>
      <c r="C721" s="5"/>
      <c r="D721" s="5"/>
      <c r="E721" s="5"/>
      <c r="F721" s="5"/>
      <c r="G721" s="10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ht="15.75" customHeight="1">
      <c r="A722" s="5"/>
      <c r="B722" s="5"/>
      <c r="C722" s="5"/>
      <c r="D722" s="5"/>
      <c r="E722" s="5"/>
      <c r="F722" s="5"/>
      <c r="G722" s="10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ht="15.75" customHeight="1">
      <c r="A723" s="5"/>
      <c r="B723" s="5"/>
      <c r="C723" s="5"/>
      <c r="D723" s="5"/>
      <c r="E723" s="5"/>
      <c r="F723" s="5"/>
      <c r="G723" s="10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ht="15.75" customHeight="1">
      <c r="A724" s="5"/>
      <c r="B724" s="5"/>
      <c r="C724" s="5"/>
      <c r="D724" s="5"/>
      <c r="E724" s="5"/>
      <c r="F724" s="5"/>
      <c r="G724" s="10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ht="15.75" customHeight="1">
      <c r="A725" s="5"/>
      <c r="B725" s="5"/>
      <c r="C725" s="5"/>
      <c r="D725" s="5"/>
      <c r="E725" s="5"/>
      <c r="F725" s="5"/>
      <c r="G725" s="10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ht="15.75" customHeight="1">
      <c r="A726" s="5"/>
      <c r="B726" s="5"/>
      <c r="C726" s="5"/>
      <c r="D726" s="5"/>
      <c r="E726" s="5"/>
      <c r="F726" s="5"/>
      <c r="G726" s="10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ht="15.75" customHeight="1">
      <c r="A727" s="5"/>
      <c r="B727" s="5"/>
      <c r="C727" s="5"/>
      <c r="D727" s="5"/>
      <c r="E727" s="5"/>
      <c r="F727" s="5"/>
      <c r="G727" s="10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ht="15.75" customHeight="1">
      <c r="A728" s="5"/>
      <c r="B728" s="5"/>
      <c r="C728" s="5"/>
      <c r="D728" s="5"/>
      <c r="E728" s="5"/>
      <c r="F728" s="5"/>
      <c r="G728" s="10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ht="15.75" customHeight="1">
      <c r="A729" s="5"/>
      <c r="B729" s="5"/>
      <c r="C729" s="5"/>
      <c r="D729" s="5"/>
      <c r="E729" s="5"/>
      <c r="F729" s="5"/>
      <c r="G729" s="10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ht="15.75" customHeight="1">
      <c r="A730" s="5"/>
      <c r="B730" s="5"/>
      <c r="C730" s="5"/>
      <c r="D730" s="5"/>
      <c r="E730" s="5"/>
      <c r="F730" s="5"/>
      <c r="G730" s="10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ht="15.75" customHeight="1">
      <c r="A731" s="5"/>
      <c r="B731" s="5"/>
      <c r="C731" s="5"/>
      <c r="D731" s="5"/>
      <c r="E731" s="5"/>
      <c r="F731" s="5"/>
      <c r="G731" s="10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ht="15.75" customHeight="1">
      <c r="A732" s="5"/>
      <c r="B732" s="5"/>
      <c r="C732" s="5"/>
      <c r="D732" s="5"/>
      <c r="E732" s="5"/>
      <c r="F732" s="5"/>
      <c r="G732" s="10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ht="15.75" customHeight="1">
      <c r="A733" s="5"/>
      <c r="B733" s="5"/>
      <c r="C733" s="5"/>
      <c r="D733" s="5"/>
      <c r="E733" s="5"/>
      <c r="F733" s="5"/>
      <c r="G733" s="10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ht="15.75" customHeight="1">
      <c r="A734" s="5"/>
      <c r="B734" s="5"/>
      <c r="C734" s="5"/>
      <c r="D734" s="5"/>
      <c r="E734" s="5"/>
      <c r="F734" s="5"/>
      <c r="G734" s="10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ht="15.75" customHeight="1">
      <c r="A735" s="5"/>
      <c r="B735" s="5"/>
      <c r="C735" s="5"/>
      <c r="D735" s="5"/>
      <c r="E735" s="5"/>
      <c r="F735" s="5"/>
      <c r="G735" s="10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ht="15.75" customHeight="1">
      <c r="A736" s="5"/>
      <c r="B736" s="5"/>
      <c r="C736" s="5"/>
      <c r="D736" s="5"/>
      <c r="E736" s="5"/>
      <c r="F736" s="5"/>
      <c r="G736" s="10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ht="15.75" customHeight="1">
      <c r="A737" s="5"/>
      <c r="B737" s="5"/>
      <c r="C737" s="5"/>
      <c r="D737" s="5"/>
      <c r="E737" s="5"/>
      <c r="F737" s="5"/>
      <c r="G737" s="10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ht="15.75" customHeight="1">
      <c r="A738" s="5"/>
      <c r="B738" s="5"/>
      <c r="C738" s="5"/>
      <c r="D738" s="5"/>
      <c r="E738" s="5"/>
      <c r="F738" s="5"/>
      <c r="G738" s="10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ht="15.75" customHeight="1">
      <c r="A739" s="5"/>
      <c r="B739" s="5"/>
      <c r="C739" s="5"/>
      <c r="D739" s="5"/>
      <c r="E739" s="5"/>
      <c r="F739" s="5"/>
      <c r="G739" s="10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ht="15.75" customHeight="1">
      <c r="A740" s="5"/>
      <c r="B740" s="5"/>
      <c r="C740" s="5"/>
      <c r="D740" s="5"/>
      <c r="E740" s="5"/>
      <c r="F740" s="5"/>
      <c r="G740" s="10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ht="15.75" customHeight="1">
      <c r="A741" s="5"/>
      <c r="B741" s="5"/>
      <c r="C741" s="5"/>
      <c r="D741" s="5"/>
      <c r="E741" s="5"/>
      <c r="F741" s="5"/>
      <c r="G741" s="10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ht="15.75" customHeight="1">
      <c r="A742" s="5"/>
      <c r="B742" s="5"/>
      <c r="C742" s="5"/>
      <c r="D742" s="5"/>
      <c r="E742" s="5"/>
      <c r="F742" s="5"/>
      <c r="G742" s="10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ht="15.75" customHeight="1">
      <c r="A743" s="5"/>
      <c r="B743" s="5"/>
      <c r="C743" s="5"/>
      <c r="D743" s="5"/>
      <c r="E743" s="5"/>
      <c r="F743" s="5"/>
      <c r="G743" s="10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ht="15.75" customHeight="1">
      <c r="A744" s="5"/>
      <c r="B744" s="5"/>
      <c r="C744" s="5"/>
      <c r="D744" s="5"/>
      <c r="E744" s="5"/>
      <c r="F744" s="5"/>
      <c r="G744" s="10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ht="15.75" customHeight="1">
      <c r="A745" s="5"/>
      <c r="B745" s="5"/>
      <c r="C745" s="5"/>
      <c r="D745" s="5"/>
      <c r="E745" s="5"/>
      <c r="F745" s="5"/>
      <c r="G745" s="10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ht="15.75" customHeight="1">
      <c r="A746" s="5"/>
      <c r="B746" s="5"/>
      <c r="C746" s="5"/>
      <c r="D746" s="5"/>
      <c r="E746" s="5"/>
      <c r="F746" s="5"/>
      <c r="G746" s="10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ht="15.75" customHeight="1">
      <c r="A747" s="5"/>
      <c r="B747" s="5"/>
      <c r="C747" s="5"/>
      <c r="D747" s="5"/>
      <c r="E747" s="5"/>
      <c r="F747" s="5"/>
      <c r="G747" s="10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ht="15.75" customHeight="1">
      <c r="A748" s="5"/>
      <c r="B748" s="5"/>
      <c r="C748" s="5"/>
      <c r="D748" s="5"/>
      <c r="E748" s="5"/>
      <c r="F748" s="5"/>
      <c r="G748" s="10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ht="15.75" customHeight="1">
      <c r="A749" s="5"/>
      <c r="B749" s="5"/>
      <c r="C749" s="5"/>
      <c r="D749" s="5"/>
      <c r="E749" s="5"/>
      <c r="F749" s="5"/>
      <c r="G749" s="10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ht="15.75" customHeight="1">
      <c r="A750" s="5"/>
      <c r="B750" s="5"/>
      <c r="C750" s="5"/>
      <c r="D750" s="5"/>
      <c r="E750" s="5"/>
      <c r="F750" s="5"/>
      <c r="G750" s="10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ht="15.75" customHeight="1">
      <c r="A751" s="5"/>
      <c r="B751" s="5"/>
      <c r="C751" s="5"/>
      <c r="D751" s="5"/>
      <c r="E751" s="5"/>
      <c r="F751" s="5"/>
      <c r="G751" s="10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ht="15.75" customHeight="1">
      <c r="A752" s="5"/>
      <c r="B752" s="5"/>
      <c r="C752" s="5"/>
      <c r="D752" s="5"/>
      <c r="E752" s="5"/>
      <c r="F752" s="5"/>
      <c r="G752" s="10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ht="15.75" customHeight="1">
      <c r="A753" s="5"/>
      <c r="B753" s="5"/>
      <c r="C753" s="5"/>
      <c r="D753" s="5"/>
      <c r="E753" s="5"/>
      <c r="F753" s="5"/>
      <c r="G753" s="10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ht="15.75" customHeight="1">
      <c r="A754" s="5"/>
      <c r="B754" s="5"/>
      <c r="C754" s="5"/>
      <c r="D754" s="5"/>
      <c r="E754" s="5"/>
      <c r="F754" s="5"/>
      <c r="G754" s="10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ht="15.75" customHeight="1">
      <c r="A755" s="5"/>
      <c r="B755" s="5"/>
      <c r="C755" s="5"/>
      <c r="D755" s="5"/>
      <c r="E755" s="5"/>
      <c r="F755" s="5"/>
      <c r="G755" s="10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ht="15.75" customHeight="1">
      <c r="A756" s="5"/>
      <c r="B756" s="5"/>
      <c r="C756" s="5"/>
      <c r="D756" s="5"/>
      <c r="E756" s="5"/>
      <c r="F756" s="5"/>
      <c r="G756" s="10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ht="15.75" customHeight="1">
      <c r="A757" s="5"/>
      <c r="B757" s="5"/>
      <c r="C757" s="5"/>
      <c r="D757" s="5"/>
      <c r="E757" s="5"/>
      <c r="F757" s="5"/>
      <c r="G757" s="10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ht="15.75" customHeight="1">
      <c r="A758" s="5"/>
      <c r="B758" s="5"/>
      <c r="C758" s="5"/>
      <c r="D758" s="5"/>
      <c r="E758" s="5"/>
      <c r="F758" s="5"/>
      <c r="G758" s="10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ht="15.75" customHeight="1">
      <c r="A759" s="5"/>
      <c r="B759" s="5"/>
      <c r="C759" s="5"/>
      <c r="D759" s="5"/>
      <c r="E759" s="5"/>
      <c r="F759" s="5"/>
      <c r="G759" s="10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ht="15.75" customHeight="1">
      <c r="A760" s="5"/>
      <c r="B760" s="5"/>
      <c r="C760" s="5"/>
      <c r="D760" s="5"/>
      <c r="E760" s="5"/>
      <c r="F760" s="5"/>
      <c r="G760" s="10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ht="15.75" customHeight="1">
      <c r="A761" s="5"/>
      <c r="B761" s="5"/>
      <c r="C761" s="5"/>
      <c r="D761" s="5"/>
      <c r="E761" s="5"/>
      <c r="F761" s="5"/>
      <c r="G761" s="10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ht="15.75" customHeight="1">
      <c r="A762" s="5"/>
      <c r="B762" s="5"/>
      <c r="C762" s="5"/>
      <c r="D762" s="5"/>
      <c r="E762" s="5"/>
      <c r="F762" s="5"/>
      <c r="G762" s="10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ht="15.75" customHeight="1">
      <c r="A763" s="5"/>
      <c r="B763" s="5"/>
      <c r="C763" s="5"/>
      <c r="D763" s="5"/>
      <c r="E763" s="5"/>
      <c r="F763" s="5"/>
      <c r="G763" s="10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ht="15.75" customHeight="1">
      <c r="A764" s="5"/>
      <c r="B764" s="5"/>
      <c r="C764" s="5"/>
      <c r="D764" s="5"/>
      <c r="E764" s="5"/>
      <c r="F764" s="5"/>
      <c r="G764" s="10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ht="15.75" customHeight="1">
      <c r="A765" s="5"/>
      <c r="B765" s="5"/>
      <c r="C765" s="5"/>
      <c r="D765" s="5"/>
      <c r="E765" s="5"/>
      <c r="F765" s="5"/>
      <c r="G765" s="10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ht="15.75" customHeight="1">
      <c r="A766" s="5"/>
      <c r="B766" s="5"/>
      <c r="C766" s="5"/>
      <c r="D766" s="5"/>
      <c r="E766" s="5"/>
      <c r="F766" s="5"/>
      <c r="G766" s="10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ht="15.75" customHeight="1">
      <c r="A767" s="5"/>
      <c r="B767" s="5"/>
      <c r="C767" s="5"/>
      <c r="D767" s="5"/>
      <c r="E767" s="5"/>
      <c r="F767" s="5"/>
      <c r="G767" s="10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ht="15.75" customHeight="1">
      <c r="A768" s="5"/>
      <c r="B768" s="5"/>
      <c r="C768" s="5"/>
      <c r="D768" s="5"/>
      <c r="E768" s="5"/>
      <c r="F768" s="5"/>
      <c r="G768" s="10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ht="15.75" customHeight="1">
      <c r="A769" s="5"/>
      <c r="B769" s="5"/>
      <c r="C769" s="5"/>
      <c r="D769" s="5"/>
      <c r="E769" s="5"/>
      <c r="F769" s="5"/>
      <c r="G769" s="10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ht="15.75" customHeight="1">
      <c r="A770" s="5"/>
      <c r="B770" s="5"/>
      <c r="C770" s="5"/>
      <c r="D770" s="5"/>
      <c r="E770" s="5"/>
      <c r="F770" s="5"/>
      <c r="G770" s="10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ht="15.75" customHeight="1">
      <c r="A771" s="5"/>
      <c r="B771" s="5"/>
      <c r="C771" s="5"/>
      <c r="D771" s="5"/>
      <c r="E771" s="5"/>
      <c r="F771" s="5"/>
      <c r="G771" s="10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ht="15.75" customHeight="1">
      <c r="A772" s="5"/>
      <c r="B772" s="5"/>
      <c r="C772" s="5"/>
      <c r="D772" s="5"/>
      <c r="E772" s="5"/>
      <c r="F772" s="5"/>
      <c r="G772" s="10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ht="15.75" customHeight="1">
      <c r="A773" s="5"/>
      <c r="B773" s="5"/>
      <c r="C773" s="5"/>
      <c r="D773" s="5"/>
      <c r="E773" s="5"/>
      <c r="F773" s="5"/>
      <c r="G773" s="10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ht="15.75" customHeight="1">
      <c r="A774" s="5"/>
      <c r="B774" s="5"/>
      <c r="C774" s="5"/>
      <c r="D774" s="5"/>
      <c r="E774" s="5"/>
      <c r="F774" s="5"/>
      <c r="G774" s="10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ht="15.75" customHeight="1">
      <c r="A775" s="5"/>
      <c r="B775" s="5"/>
      <c r="C775" s="5"/>
      <c r="D775" s="5"/>
      <c r="E775" s="5"/>
      <c r="F775" s="5"/>
      <c r="G775" s="10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ht="15.75" customHeight="1">
      <c r="A776" s="5"/>
      <c r="B776" s="5"/>
      <c r="C776" s="5"/>
      <c r="D776" s="5"/>
      <c r="E776" s="5"/>
      <c r="F776" s="5"/>
      <c r="G776" s="10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ht="15.75" customHeight="1">
      <c r="A777" s="5"/>
      <c r="B777" s="5"/>
      <c r="C777" s="5"/>
      <c r="D777" s="5"/>
      <c r="E777" s="5"/>
      <c r="F777" s="5"/>
      <c r="G777" s="10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ht="15.75" customHeight="1">
      <c r="A778" s="5"/>
      <c r="B778" s="5"/>
      <c r="C778" s="5"/>
      <c r="D778" s="5"/>
      <c r="E778" s="5"/>
      <c r="F778" s="5"/>
      <c r="G778" s="10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ht="15.75" customHeight="1">
      <c r="A779" s="5"/>
      <c r="B779" s="5"/>
      <c r="C779" s="5"/>
      <c r="D779" s="5"/>
      <c r="E779" s="5"/>
      <c r="F779" s="5"/>
      <c r="G779" s="10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ht="15.75" customHeight="1">
      <c r="A780" s="5"/>
      <c r="B780" s="5"/>
      <c r="C780" s="5"/>
      <c r="D780" s="5"/>
      <c r="E780" s="5"/>
      <c r="F780" s="5"/>
      <c r="G780" s="10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ht="15.75" customHeight="1">
      <c r="A781" s="5"/>
      <c r="B781" s="5"/>
      <c r="C781" s="5"/>
      <c r="D781" s="5"/>
      <c r="E781" s="5"/>
      <c r="F781" s="5"/>
      <c r="G781" s="10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ht="15.75" customHeight="1">
      <c r="A782" s="5"/>
      <c r="B782" s="5"/>
      <c r="C782" s="5"/>
      <c r="D782" s="5"/>
      <c r="E782" s="5"/>
      <c r="F782" s="5"/>
      <c r="G782" s="10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ht="15.75" customHeight="1">
      <c r="A783" s="5"/>
      <c r="B783" s="5"/>
      <c r="C783" s="5"/>
      <c r="D783" s="5"/>
      <c r="E783" s="5"/>
      <c r="F783" s="5"/>
      <c r="G783" s="10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ht="15.75" customHeight="1">
      <c r="A784" s="5"/>
      <c r="B784" s="5"/>
      <c r="C784" s="5"/>
      <c r="D784" s="5"/>
      <c r="E784" s="5"/>
      <c r="F784" s="5"/>
      <c r="G784" s="10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ht="15.75" customHeight="1">
      <c r="A785" s="5"/>
      <c r="B785" s="5"/>
      <c r="C785" s="5"/>
      <c r="D785" s="5"/>
      <c r="E785" s="5"/>
      <c r="F785" s="5"/>
      <c r="G785" s="10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ht="15.75" customHeight="1">
      <c r="A786" s="5"/>
      <c r="B786" s="5"/>
      <c r="C786" s="5"/>
      <c r="D786" s="5"/>
      <c r="E786" s="5"/>
      <c r="F786" s="5"/>
      <c r="G786" s="10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ht="15.75" customHeight="1">
      <c r="A787" s="5"/>
      <c r="B787" s="5"/>
      <c r="C787" s="5"/>
      <c r="D787" s="5"/>
      <c r="E787" s="5"/>
      <c r="F787" s="5"/>
      <c r="G787" s="10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ht="15.75" customHeight="1">
      <c r="A788" s="5"/>
      <c r="B788" s="5"/>
      <c r="C788" s="5"/>
      <c r="D788" s="5"/>
      <c r="E788" s="5"/>
      <c r="F788" s="5"/>
      <c r="G788" s="10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ht="15.75" customHeight="1">
      <c r="A789" s="5"/>
      <c r="B789" s="5"/>
      <c r="C789" s="5"/>
      <c r="D789" s="5"/>
      <c r="E789" s="5"/>
      <c r="F789" s="5"/>
      <c r="G789" s="10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ht="15.75" customHeight="1">
      <c r="A790" s="5"/>
      <c r="B790" s="5"/>
      <c r="C790" s="5"/>
      <c r="D790" s="5"/>
      <c r="E790" s="5"/>
      <c r="F790" s="5"/>
      <c r="G790" s="10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ht="15.75" customHeight="1">
      <c r="A791" s="5"/>
      <c r="B791" s="5"/>
      <c r="C791" s="5"/>
      <c r="D791" s="5"/>
      <c r="E791" s="5"/>
      <c r="F791" s="5"/>
      <c r="G791" s="10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ht="15.75" customHeight="1">
      <c r="A792" s="5"/>
      <c r="B792" s="5"/>
      <c r="C792" s="5"/>
      <c r="D792" s="5"/>
      <c r="E792" s="5"/>
      <c r="F792" s="5"/>
      <c r="G792" s="10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ht="15.75" customHeight="1">
      <c r="A793" s="5"/>
      <c r="B793" s="5"/>
      <c r="C793" s="5"/>
      <c r="D793" s="5"/>
      <c r="E793" s="5"/>
      <c r="F793" s="5"/>
      <c r="G793" s="10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ht="15.75" customHeight="1">
      <c r="A794" s="5"/>
      <c r="B794" s="5"/>
      <c r="C794" s="5"/>
      <c r="D794" s="5"/>
      <c r="E794" s="5"/>
      <c r="F794" s="5"/>
      <c r="G794" s="10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ht="15.75" customHeight="1">
      <c r="A795" s="5"/>
      <c r="B795" s="5"/>
      <c r="C795" s="5"/>
      <c r="D795" s="5"/>
      <c r="E795" s="5"/>
      <c r="F795" s="5"/>
      <c r="G795" s="10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ht="15.75" customHeight="1">
      <c r="A796" s="5"/>
      <c r="B796" s="5"/>
      <c r="C796" s="5"/>
      <c r="D796" s="5"/>
      <c r="E796" s="5"/>
      <c r="F796" s="5"/>
      <c r="G796" s="10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ht="15.75" customHeight="1">
      <c r="A797" s="5"/>
      <c r="B797" s="5"/>
      <c r="C797" s="5"/>
      <c r="D797" s="5"/>
      <c r="E797" s="5"/>
      <c r="F797" s="5"/>
      <c r="G797" s="10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ht="15.75" customHeight="1">
      <c r="A798" s="5"/>
      <c r="B798" s="5"/>
      <c r="C798" s="5"/>
      <c r="D798" s="5"/>
      <c r="E798" s="5"/>
      <c r="F798" s="5"/>
      <c r="G798" s="10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ht="15.75" customHeight="1">
      <c r="A799" s="5"/>
      <c r="B799" s="5"/>
      <c r="C799" s="5"/>
      <c r="D799" s="5"/>
      <c r="E799" s="5"/>
      <c r="F799" s="5"/>
      <c r="G799" s="10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ht="15.75" customHeight="1">
      <c r="A800" s="5"/>
      <c r="B800" s="5"/>
      <c r="C800" s="5"/>
      <c r="D800" s="5"/>
      <c r="E800" s="5"/>
      <c r="F800" s="5"/>
      <c r="G800" s="10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ht="15.75" customHeight="1">
      <c r="A801" s="5"/>
      <c r="B801" s="5"/>
      <c r="C801" s="5"/>
      <c r="D801" s="5"/>
      <c r="E801" s="5"/>
      <c r="F801" s="5"/>
      <c r="G801" s="10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ht="15.75" customHeight="1">
      <c r="A802" s="5"/>
      <c r="B802" s="5"/>
      <c r="C802" s="5"/>
      <c r="D802" s="5"/>
      <c r="E802" s="5"/>
      <c r="F802" s="5"/>
      <c r="G802" s="10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ht="15.75" customHeight="1">
      <c r="A803" s="5"/>
      <c r="B803" s="5"/>
      <c r="C803" s="5"/>
      <c r="D803" s="5"/>
      <c r="E803" s="5"/>
      <c r="F803" s="5"/>
      <c r="G803" s="10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ht="15.75" customHeight="1">
      <c r="A804" s="5"/>
      <c r="B804" s="5"/>
      <c r="C804" s="5"/>
      <c r="D804" s="5"/>
      <c r="E804" s="5"/>
      <c r="F804" s="5"/>
      <c r="G804" s="10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ht="15.75" customHeight="1">
      <c r="A805" s="5"/>
      <c r="B805" s="5"/>
      <c r="C805" s="5"/>
      <c r="D805" s="5"/>
      <c r="E805" s="5"/>
      <c r="F805" s="5"/>
      <c r="G805" s="10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ht="15.75" customHeight="1">
      <c r="A806" s="5"/>
      <c r="B806" s="5"/>
      <c r="C806" s="5"/>
      <c r="D806" s="5"/>
      <c r="E806" s="5"/>
      <c r="F806" s="5"/>
      <c r="G806" s="10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ht="15.75" customHeight="1">
      <c r="A807" s="5"/>
      <c r="B807" s="5"/>
      <c r="C807" s="5"/>
      <c r="D807" s="5"/>
      <c r="E807" s="5"/>
      <c r="F807" s="5"/>
      <c r="G807" s="10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ht="15.75" customHeight="1">
      <c r="A808" s="5"/>
      <c r="B808" s="5"/>
      <c r="C808" s="5"/>
      <c r="D808" s="5"/>
      <c r="E808" s="5"/>
      <c r="F808" s="5"/>
      <c r="G808" s="10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ht="15.75" customHeight="1">
      <c r="A809" s="5"/>
      <c r="B809" s="5"/>
      <c r="C809" s="5"/>
      <c r="D809" s="5"/>
      <c r="E809" s="5"/>
      <c r="F809" s="5"/>
      <c r="G809" s="10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ht="15.75" customHeight="1">
      <c r="A810" s="5"/>
      <c r="B810" s="5"/>
      <c r="C810" s="5"/>
      <c r="D810" s="5"/>
      <c r="E810" s="5"/>
      <c r="F810" s="5"/>
      <c r="G810" s="10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ht="15.75" customHeight="1">
      <c r="A811" s="5"/>
      <c r="B811" s="5"/>
      <c r="C811" s="5"/>
      <c r="D811" s="5"/>
      <c r="E811" s="5"/>
      <c r="F811" s="5"/>
      <c r="G811" s="10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ht="15.75" customHeight="1">
      <c r="A812" s="5"/>
      <c r="B812" s="5"/>
      <c r="C812" s="5"/>
      <c r="D812" s="5"/>
      <c r="E812" s="5"/>
      <c r="F812" s="5"/>
      <c r="G812" s="10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ht="15.75" customHeight="1">
      <c r="A813" s="5"/>
      <c r="B813" s="5"/>
      <c r="C813" s="5"/>
      <c r="D813" s="5"/>
      <c r="E813" s="5"/>
      <c r="F813" s="5"/>
      <c r="G813" s="10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ht="15.75" customHeight="1">
      <c r="A814" s="5"/>
      <c r="B814" s="5"/>
      <c r="C814" s="5"/>
      <c r="D814" s="5"/>
      <c r="E814" s="5"/>
      <c r="F814" s="5"/>
      <c r="G814" s="10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ht="15.75" customHeight="1">
      <c r="A815" s="5"/>
      <c r="B815" s="5"/>
      <c r="C815" s="5"/>
      <c r="D815" s="5"/>
      <c r="E815" s="5"/>
      <c r="F815" s="5"/>
      <c r="G815" s="10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ht="15.75" customHeight="1">
      <c r="A816" s="5"/>
      <c r="B816" s="5"/>
      <c r="C816" s="5"/>
      <c r="D816" s="5"/>
      <c r="E816" s="5"/>
      <c r="F816" s="5"/>
      <c r="G816" s="10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ht="15.75" customHeight="1">
      <c r="A817" s="5"/>
      <c r="B817" s="5"/>
      <c r="C817" s="5"/>
      <c r="D817" s="5"/>
      <c r="E817" s="5"/>
      <c r="F817" s="5"/>
      <c r="G817" s="10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ht="15.75" customHeight="1">
      <c r="A818" s="5"/>
      <c r="B818" s="5"/>
      <c r="C818" s="5"/>
      <c r="D818" s="5"/>
      <c r="E818" s="5"/>
      <c r="F818" s="5"/>
      <c r="G818" s="10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ht="15.75" customHeight="1">
      <c r="A819" s="5"/>
      <c r="B819" s="5"/>
      <c r="C819" s="5"/>
      <c r="D819" s="5"/>
      <c r="E819" s="5"/>
      <c r="F819" s="5"/>
      <c r="G819" s="10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ht="15.75" customHeight="1">
      <c r="A820" s="5"/>
      <c r="B820" s="5"/>
      <c r="C820" s="5"/>
      <c r="D820" s="5"/>
      <c r="E820" s="5"/>
      <c r="F820" s="5"/>
      <c r="G820" s="10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ht="15.75" customHeight="1">
      <c r="A821" s="5"/>
      <c r="B821" s="5"/>
      <c r="C821" s="5"/>
      <c r="D821" s="5"/>
      <c r="E821" s="5"/>
      <c r="F821" s="5"/>
      <c r="G821" s="10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ht="15.75" customHeight="1">
      <c r="A822" s="5"/>
      <c r="B822" s="5"/>
      <c r="C822" s="5"/>
      <c r="D822" s="5"/>
      <c r="E822" s="5"/>
      <c r="F822" s="5"/>
      <c r="G822" s="10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ht="15.75" customHeight="1">
      <c r="A823" s="5"/>
      <c r="B823" s="5"/>
      <c r="C823" s="5"/>
      <c r="D823" s="5"/>
      <c r="E823" s="5"/>
      <c r="F823" s="5"/>
      <c r="G823" s="10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ht="15.75" customHeight="1">
      <c r="A824" s="5"/>
      <c r="B824" s="5"/>
      <c r="C824" s="5"/>
      <c r="D824" s="5"/>
      <c r="E824" s="5"/>
      <c r="F824" s="5"/>
      <c r="G824" s="10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ht="15.75" customHeight="1">
      <c r="A825" s="5"/>
      <c r="B825" s="5"/>
      <c r="C825" s="5"/>
      <c r="D825" s="5"/>
      <c r="E825" s="5"/>
      <c r="F825" s="5"/>
      <c r="G825" s="10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ht="15.75" customHeight="1">
      <c r="A826" s="5"/>
      <c r="B826" s="5"/>
      <c r="C826" s="5"/>
      <c r="D826" s="5"/>
      <c r="E826" s="5"/>
      <c r="F826" s="5"/>
      <c r="G826" s="10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ht="15.75" customHeight="1">
      <c r="A827" s="5"/>
      <c r="B827" s="5"/>
      <c r="C827" s="5"/>
      <c r="D827" s="5"/>
      <c r="E827" s="5"/>
      <c r="F827" s="5"/>
      <c r="G827" s="10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ht="15.75" customHeight="1">
      <c r="A828" s="5"/>
      <c r="B828" s="5"/>
      <c r="C828" s="5"/>
      <c r="D828" s="5"/>
      <c r="E828" s="5"/>
      <c r="F828" s="5"/>
      <c r="G828" s="10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ht="15.75" customHeight="1">
      <c r="A829" s="5"/>
      <c r="B829" s="5"/>
      <c r="C829" s="5"/>
      <c r="D829" s="5"/>
      <c r="E829" s="5"/>
      <c r="F829" s="5"/>
      <c r="G829" s="10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ht="15.75" customHeight="1">
      <c r="A830" s="5"/>
      <c r="B830" s="5"/>
      <c r="C830" s="5"/>
      <c r="D830" s="5"/>
      <c r="E830" s="5"/>
      <c r="F830" s="5"/>
      <c r="G830" s="10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ht="15.75" customHeight="1">
      <c r="A831" s="5"/>
      <c r="B831" s="5"/>
      <c r="C831" s="5"/>
      <c r="D831" s="5"/>
      <c r="E831" s="5"/>
      <c r="F831" s="5"/>
      <c r="G831" s="10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ht="15.75" customHeight="1">
      <c r="A832" s="5"/>
      <c r="B832" s="5"/>
      <c r="C832" s="5"/>
      <c r="D832" s="5"/>
      <c r="E832" s="5"/>
      <c r="F832" s="5"/>
      <c r="G832" s="10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ht="15.75" customHeight="1">
      <c r="A833" s="5"/>
      <c r="B833" s="5"/>
      <c r="C833" s="5"/>
      <c r="D833" s="5"/>
      <c r="E833" s="5"/>
      <c r="F833" s="5"/>
      <c r="G833" s="10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ht="15.75" customHeight="1">
      <c r="A834" s="5"/>
      <c r="B834" s="5"/>
      <c r="C834" s="5"/>
      <c r="D834" s="5"/>
      <c r="E834" s="5"/>
      <c r="F834" s="5"/>
      <c r="G834" s="10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ht="15.75" customHeight="1">
      <c r="A835" s="5"/>
      <c r="B835" s="5"/>
      <c r="C835" s="5"/>
      <c r="D835" s="5"/>
      <c r="E835" s="5"/>
      <c r="F835" s="5"/>
      <c r="G835" s="10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ht="15.75" customHeight="1">
      <c r="A836" s="5"/>
      <c r="B836" s="5"/>
      <c r="C836" s="5"/>
      <c r="D836" s="5"/>
      <c r="E836" s="5"/>
      <c r="F836" s="5"/>
      <c r="G836" s="10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ht="15.75" customHeight="1">
      <c r="A837" s="5"/>
      <c r="B837" s="5"/>
      <c r="C837" s="5"/>
      <c r="D837" s="5"/>
      <c r="E837" s="5"/>
      <c r="F837" s="5"/>
      <c r="G837" s="10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ht="15.75" customHeight="1">
      <c r="A838" s="5"/>
      <c r="B838" s="5"/>
      <c r="C838" s="5"/>
      <c r="D838" s="5"/>
      <c r="E838" s="5"/>
      <c r="F838" s="5"/>
      <c r="G838" s="10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ht="15.75" customHeight="1">
      <c r="A839" s="5"/>
      <c r="B839" s="5"/>
      <c r="C839" s="5"/>
      <c r="D839" s="5"/>
      <c r="E839" s="5"/>
      <c r="F839" s="5"/>
      <c r="G839" s="10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ht="15.75" customHeight="1">
      <c r="A840" s="5"/>
      <c r="B840" s="5"/>
      <c r="C840" s="5"/>
      <c r="D840" s="5"/>
      <c r="E840" s="5"/>
      <c r="F840" s="5"/>
      <c r="G840" s="10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ht="15.75" customHeight="1">
      <c r="A841" s="5"/>
      <c r="B841" s="5"/>
      <c r="C841" s="5"/>
      <c r="D841" s="5"/>
      <c r="E841" s="5"/>
      <c r="F841" s="5"/>
      <c r="G841" s="10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ht="15.75" customHeight="1">
      <c r="A842" s="5"/>
      <c r="B842" s="5"/>
      <c r="C842" s="5"/>
      <c r="D842" s="5"/>
      <c r="E842" s="5"/>
      <c r="F842" s="5"/>
      <c r="G842" s="10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ht="15.75" customHeight="1">
      <c r="A843" s="5"/>
      <c r="B843" s="5"/>
      <c r="C843" s="5"/>
      <c r="D843" s="5"/>
      <c r="E843" s="5"/>
      <c r="F843" s="5"/>
      <c r="G843" s="10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ht="15.75" customHeight="1">
      <c r="A844" s="5"/>
      <c r="B844" s="5"/>
      <c r="C844" s="5"/>
      <c r="D844" s="5"/>
      <c r="E844" s="5"/>
      <c r="F844" s="5"/>
      <c r="G844" s="10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ht="15.75" customHeight="1">
      <c r="A845" s="5"/>
      <c r="B845" s="5"/>
      <c r="C845" s="5"/>
      <c r="D845" s="5"/>
      <c r="E845" s="5"/>
      <c r="F845" s="5"/>
      <c r="G845" s="10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ht="15.75" customHeight="1">
      <c r="A846" s="5"/>
      <c r="B846" s="5"/>
      <c r="C846" s="5"/>
      <c r="D846" s="5"/>
      <c r="E846" s="5"/>
      <c r="F846" s="5"/>
      <c r="G846" s="10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ht="15.75" customHeight="1">
      <c r="A847" s="5"/>
      <c r="B847" s="5"/>
      <c r="C847" s="5"/>
      <c r="D847" s="5"/>
      <c r="E847" s="5"/>
      <c r="F847" s="5"/>
      <c r="G847" s="10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ht="15.75" customHeight="1">
      <c r="A848" s="5"/>
      <c r="B848" s="5"/>
      <c r="C848" s="5"/>
      <c r="D848" s="5"/>
      <c r="E848" s="5"/>
      <c r="F848" s="5"/>
      <c r="G848" s="10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ht="15.75" customHeight="1">
      <c r="A849" s="5"/>
      <c r="B849" s="5"/>
      <c r="C849" s="5"/>
      <c r="D849" s="5"/>
      <c r="E849" s="5"/>
      <c r="F849" s="5"/>
      <c r="G849" s="10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ht="15.75" customHeight="1">
      <c r="A850" s="5"/>
      <c r="B850" s="5"/>
      <c r="C850" s="5"/>
      <c r="D850" s="5"/>
      <c r="E850" s="5"/>
      <c r="F850" s="5"/>
      <c r="G850" s="10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ht="15.75" customHeight="1">
      <c r="A851" s="5"/>
      <c r="B851" s="5"/>
      <c r="C851" s="5"/>
      <c r="D851" s="5"/>
      <c r="E851" s="5"/>
      <c r="F851" s="5"/>
      <c r="G851" s="10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ht="15.75" customHeight="1">
      <c r="A852" s="5"/>
      <c r="B852" s="5"/>
      <c r="C852" s="5"/>
      <c r="D852" s="5"/>
      <c r="E852" s="5"/>
      <c r="F852" s="5"/>
      <c r="G852" s="10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ht="15.75" customHeight="1">
      <c r="A853" s="5"/>
      <c r="B853" s="5"/>
      <c r="C853" s="5"/>
      <c r="D853" s="5"/>
      <c r="E853" s="5"/>
      <c r="F853" s="5"/>
      <c r="G853" s="10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ht="15.75" customHeight="1">
      <c r="A854" s="5"/>
      <c r="B854" s="5"/>
      <c r="C854" s="5"/>
      <c r="D854" s="5"/>
      <c r="E854" s="5"/>
      <c r="F854" s="5"/>
      <c r="G854" s="10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ht="15.75" customHeight="1">
      <c r="A855" s="5"/>
      <c r="B855" s="5"/>
      <c r="C855" s="5"/>
      <c r="D855" s="5"/>
      <c r="E855" s="5"/>
      <c r="F855" s="5"/>
      <c r="G855" s="10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ht="15.75" customHeight="1">
      <c r="A856" s="5"/>
      <c r="B856" s="5"/>
      <c r="C856" s="5"/>
      <c r="D856" s="5"/>
      <c r="E856" s="5"/>
      <c r="F856" s="5"/>
      <c r="G856" s="10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ht="15.75" customHeight="1">
      <c r="A857" s="5"/>
      <c r="B857" s="5"/>
      <c r="C857" s="5"/>
      <c r="D857" s="5"/>
      <c r="E857" s="5"/>
      <c r="F857" s="5"/>
      <c r="G857" s="10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ht="15.75" customHeight="1">
      <c r="A858" s="5"/>
      <c r="B858" s="5"/>
      <c r="C858" s="5"/>
      <c r="D858" s="5"/>
      <c r="E858" s="5"/>
      <c r="F858" s="5"/>
      <c r="G858" s="10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ht="15.75" customHeight="1">
      <c r="A859" s="5"/>
      <c r="B859" s="5"/>
      <c r="C859" s="5"/>
      <c r="D859" s="5"/>
      <c r="E859" s="5"/>
      <c r="F859" s="5"/>
      <c r="G859" s="10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ht="15.75" customHeight="1">
      <c r="A860" s="5"/>
      <c r="B860" s="5"/>
      <c r="C860" s="5"/>
      <c r="D860" s="5"/>
      <c r="E860" s="5"/>
      <c r="F860" s="5"/>
      <c r="G860" s="10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ht="15.75" customHeight="1">
      <c r="A861" s="5"/>
      <c r="B861" s="5"/>
      <c r="C861" s="5"/>
      <c r="D861" s="5"/>
      <c r="E861" s="5"/>
      <c r="F861" s="5"/>
      <c r="G861" s="10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ht="15.75" customHeight="1">
      <c r="A862" s="5"/>
      <c r="B862" s="5"/>
      <c r="C862" s="5"/>
      <c r="D862" s="5"/>
      <c r="E862" s="5"/>
      <c r="F862" s="5"/>
      <c r="G862" s="10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ht="15.75" customHeight="1">
      <c r="A863" s="5"/>
      <c r="B863" s="5"/>
      <c r="C863" s="5"/>
      <c r="D863" s="5"/>
      <c r="E863" s="5"/>
      <c r="F863" s="5"/>
      <c r="G863" s="10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ht="15.75" customHeight="1">
      <c r="A864" s="5"/>
      <c r="B864" s="5"/>
      <c r="C864" s="5"/>
      <c r="D864" s="5"/>
      <c r="E864" s="5"/>
      <c r="F864" s="5"/>
      <c r="G864" s="10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ht="15.75" customHeight="1">
      <c r="A865" s="5"/>
      <c r="B865" s="5"/>
      <c r="C865" s="5"/>
      <c r="D865" s="5"/>
      <c r="E865" s="5"/>
      <c r="F865" s="5"/>
      <c r="G865" s="10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ht="15.75" customHeight="1">
      <c r="A866" s="5"/>
      <c r="B866" s="5"/>
      <c r="C866" s="5"/>
      <c r="D866" s="5"/>
      <c r="E866" s="5"/>
      <c r="F866" s="5"/>
      <c r="G866" s="10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ht="15.75" customHeight="1">
      <c r="A867" s="5"/>
      <c r="B867" s="5"/>
      <c r="C867" s="5"/>
      <c r="D867" s="5"/>
      <c r="E867" s="5"/>
      <c r="F867" s="5"/>
      <c r="G867" s="10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ht="15.75" customHeight="1">
      <c r="A868" s="5"/>
      <c r="B868" s="5"/>
      <c r="C868" s="5"/>
      <c r="D868" s="5"/>
      <c r="E868" s="5"/>
      <c r="F868" s="5"/>
      <c r="G868" s="10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ht="15.75" customHeight="1">
      <c r="A869" s="5"/>
      <c r="B869" s="5"/>
      <c r="C869" s="5"/>
      <c r="D869" s="5"/>
      <c r="E869" s="5"/>
      <c r="F869" s="5"/>
      <c r="G869" s="10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ht="15.75" customHeight="1">
      <c r="A870" s="5"/>
      <c r="B870" s="5"/>
      <c r="C870" s="5"/>
      <c r="D870" s="5"/>
      <c r="E870" s="5"/>
      <c r="F870" s="5"/>
      <c r="G870" s="10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ht="15.75" customHeight="1">
      <c r="A871" s="5"/>
      <c r="B871" s="5"/>
      <c r="C871" s="5"/>
      <c r="D871" s="5"/>
      <c r="E871" s="5"/>
      <c r="F871" s="5"/>
      <c r="G871" s="10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ht="15.75" customHeight="1">
      <c r="A872" s="5"/>
      <c r="B872" s="5"/>
      <c r="C872" s="5"/>
      <c r="D872" s="5"/>
      <c r="E872" s="5"/>
      <c r="F872" s="5"/>
      <c r="G872" s="10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ht="15.75" customHeight="1">
      <c r="A873" s="5"/>
      <c r="B873" s="5"/>
      <c r="C873" s="5"/>
      <c r="D873" s="5"/>
      <c r="E873" s="5"/>
      <c r="F873" s="5"/>
      <c r="G873" s="10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ht="15.75" customHeight="1">
      <c r="A874" s="5"/>
      <c r="B874" s="5"/>
      <c r="C874" s="5"/>
      <c r="D874" s="5"/>
      <c r="E874" s="5"/>
      <c r="F874" s="5"/>
      <c r="G874" s="10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ht="15.75" customHeight="1">
      <c r="A875" s="5"/>
      <c r="B875" s="5"/>
      <c r="C875" s="5"/>
      <c r="D875" s="5"/>
      <c r="E875" s="5"/>
      <c r="F875" s="5"/>
      <c r="G875" s="10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ht="15.75" customHeight="1">
      <c r="A876" s="5"/>
      <c r="B876" s="5"/>
      <c r="C876" s="5"/>
      <c r="D876" s="5"/>
      <c r="E876" s="5"/>
      <c r="F876" s="5"/>
      <c r="G876" s="10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ht="15.75" customHeight="1">
      <c r="A877" s="5"/>
      <c r="B877" s="5"/>
      <c r="C877" s="5"/>
      <c r="D877" s="5"/>
      <c r="E877" s="5"/>
      <c r="F877" s="5"/>
      <c r="G877" s="10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ht="15.75" customHeight="1">
      <c r="A878" s="5"/>
      <c r="B878" s="5"/>
      <c r="C878" s="5"/>
      <c r="D878" s="5"/>
      <c r="E878" s="5"/>
      <c r="F878" s="5"/>
      <c r="G878" s="10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ht="15.75" customHeight="1">
      <c r="A879" s="5"/>
      <c r="B879" s="5"/>
      <c r="C879" s="5"/>
      <c r="D879" s="5"/>
      <c r="E879" s="5"/>
      <c r="F879" s="5"/>
      <c r="G879" s="10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ht="15.75" customHeight="1">
      <c r="A880" s="5"/>
      <c r="B880" s="5"/>
      <c r="C880" s="5"/>
      <c r="D880" s="5"/>
      <c r="E880" s="5"/>
      <c r="F880" s="5"/>
      <c r="G880" s="10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ht="15.75" customHeight="1">
      <c r="A881" s="5"/>
      <c r="B881" s="5"/>
      <c r="C881" s="5"/>
      <c r="D881" s="5"/>
      <c r="E881" s="5"/>
      <c r="F881" s="5"/>
      <c r="G881" s="10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ht="15.75" customHeight="1">
      <c r="A882" s="5"/>
      <c r="B882" s="5"/>
      <c r="C882" s="5"/>
      <c r="D882" s="5"/>
      <c r="E882" s="5"/>
      <c r="F882" s="5"/>
      <c r="G882" s="10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ht="15.75" customHeight="1">
      <c r="A883" s="5"/>
      <c r="B883" s="5"/>
      <c r="C883" s="5"/>
      <c r="D883" s="5"/>
      <c r="E883" s="5"/>
      <c r="F883" s="5"/>
      <c r="G883" s="10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ht="15.75" customHeight="1">
      <c r="A884" s="5"/>
      <c r="B884" s="5"/>
      <c r="C884" s="5"/>
      <c r="D884" s="5"/>
      <c r="E884" s="5"/>
      <c r="F884" s="5"/>
      <c r="G884" s="10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ht="15.75" customHeight="1">
      <c r="A885" s="5"/>
      <c r="B885" s="5"/>
      <c r="C885" s="5"/>
      <c r="D885" s="5"/>
      <c r="E885" s="5"/>
      <c r="F885" s="5"/>
      <c r="G885" s="10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ht="15.75" customHeight="1">
      <c r="A886" s="5"/>
      <c r="B886" s="5"/>
      <c r="C886" s="5"/>
      <c r="D886" s="5"/>
      <c r="E886" s="5"/>
      <c r="F886" s="5"/>
      <c r="G886" s="10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ht="15.75" customHeight="1">
      <c r="A887" s="5"/>
      <c r="B887" s="5"/>
      <c r="C887" s="5"/>
      <c r="D887" s="5"/>
      <c r="E887" s="5"/>
      <c r="F887" s="5"/>
      <c r="G887" s="10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ht="15.75" customHeight="1">
      <c r="A888" s="5"/>
      <c r="B888" s="5"/>
      <c r="C888" s="5"/>
      <c r="D888" s="5"/>
      <c r="E888" s="5"/>
      <c r="F888" s="5"/>
      <c r="G888" s="10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ht="15.75" customHeight="1">
      <c r="A889" s="5"/>
      <c r="B889" s="5"/>
      <c r="C889" s="5"/>
      <c r="D889" s="5"/>
      <c r="E889" s="5"/>
      <c r="F889" s="5"/>
      <c r="G889" s="10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ht="15.75" customHeight="1">
      <c r="A890" s="5"/>
      <c r="B890" s="5"/>
      <c r="C890" s="5"/>
      <c r="D890" s="5"/>
      <c r="E890" s="5"/>
      <c r="F890" s="5"/>
      <c r="G890" s="10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ht="15.75" customHeight="1">
      <c r="A891" s="5"/>
      <c r="B891" s="5"/>
      <c r="C891" s="5"/>
      <c r="D891" s="5"/>
      <c r="E891" s="5"/>
      <c r="F891" s="5"/>
      <c r="G891" s="10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ht="15.75" customHeight="1">
      <c r="A892" s="5"/>
      <c r="B892" s="5"/>
      <c r="C892" s="5"/>
      <c r="D892" s="5"/>
      <c r="E892" s="5"/>
      <c r="F892" s="5"/>
      <c r="G892" s="10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ht="15.75" customHeight="1">
      <c r="A893" s="5"/>
      <c r="B893" s="5"/>
      <c r="C893" s="5"/>
      <c r="D893" s="5"/>
      <c r="E893" s="5"/>
      <c r="F893" s="5"/>
      <c r="G893" s="10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ht="15.75" customHeight="1">
      <c r="A894" s="5"/>
      <c r="B894" s="5"/>
      <c r="C894" s="5"/>
      <c r="D894" s="5"/>
      <c r="E894" s="5"/>
      <c r="F894" s="5"/>
      <c r="G894" s="10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ht="15.75" customHeight="1">
      <c r="A895" s="5"/>
      <c r="B895" s="5"/>
      <c r="C895" s="5"/>
      <c r="D895" s="5"/>
      <c r="E895" s="5"/>
      <c r="F895" s="5"/>
      <c r="G895" s="10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ht="15.75" customHeight="1">
      <c r="A896" s="5"/>
      <c r="B896" s="5"/>
      <c r="C896" s="5"/>
      <c r="D896" s="5"/>
      <c r="E896" s="5"/>
      <c r="F896" s="5"/>
      <c r="G896" s="10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ht="15.75" customHeight="1">
      <c r="A897" s="5"/>
      <c r="B897" s="5"/>
      <c r="C897" s="5"/>
      <c r="D897" s="5"/>
      <c r="E897" s="5"/>
      <c r="F897" s="5"/>
      <c r="G897" s="10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ht="15.75" customHeight="1">
      <c r="A898" s="5"/>
      <c r="B898" s="5"/>
      <c r="C898" s="5"/>
      <c r="D898" s="5"/>
      <c r="E898" s="5"/>
      <c r="F898" s="5"/>
      <c r="G898" s="10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ht="15.75" customHeight="1">
      <c r="A899" s="5"/>
      <c r="B899" s="5"/>
      <c r="C899" s="5"/>
      <c r="D899" s="5"/>
      <c r="E899" s="5"/>
      <c r="F899" s="5"/>
      <c r="G899" s="10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ht="15.75" customHeight="1">
      <c r="A900" s="5"/>
      <c r="B900" s="5"/>
      <c r="C900" s="5"/>
      <c r="D900" s="5"/>
      <c r="E900" s="5"/>
      <c r="F900" s="5"/>
      <c r="G900" s="10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ht="15.75" customHeight="1">
      <c r="A901" s="5"/>
      <c r="B901" s="5"/>
      <c r="C901" s="5"/>
      <c r="D901" s="5"/>
      <c r="E901" s="5"/>
      <c r="F901" s="5"/>
      <c r="G901" s="10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ht="15.75" customHeight="1">
      <c r="A902" s="5"/>
      <c r="B902" s="5"/>
      <c r="C902" s="5"/>
      <c r="D902" s="5"/>
      <c r="E902" s="5"/>
      <c r="F902" s="5"/>
      <c r="G902" s="10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ht="15.75" customHeight="1">
      <c r="A903" s="5"/>
      <c r="B903" s="5"/>
      <c r="C903" s="5"/>
      <c r="D903" s="5"/>
      <c r="E903" s="5"/>
      <c r="F903" s="5"/>
      <c r="G903" s="10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ht="15.75" customHeight="1">
      <c r="A904" s="5"/>
      <c r="B904" s="5"/>
      <c r="C904" s="5"/>
      <c r="D904" s="5"/>
      <c r="E904" s="5"/>
      <c r="F904" s="5"/>
      <c r="G904" s="10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ht="15.75" customHeight="1">
      <c r="A905" s="5"/>
      <c r="B905" s="5"/>
      <c r="C905" s="5"/>
      <c r="D905" s="5"/>
      <c r="E905" s="5"/>
      <c r="F905" s="5"/>
      <c r="G905" s="10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ht="15.75" customHeight="1">
      <c r="A906" s="5"/>
      <c r="B906" s="5"/>
      <c r="C906" s="5"/>
      <c r="D906" s="5"/>
      <c r="E906" s="5"/>
      <c r="F906" s="5"/>
      <c r="G906" s="10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ht="15.75" customHeight="1">
      <c r="A907" s="5"/>
      <c r="B907" s="5"/>
      <c r="C907" s="5"/>
      <c r="D907" s="5"/>
      <c r="E907" s="5"/>
      <c r="F907" s="5"/>
      <c r="G907" s="10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ht="15.75" customHeight="1">
      <c r="A908" s="5"/>
      <c r="B908" s="5"/>
      <c r="C908" s="5"/>
      <c r="D908" s="5"/>
      <c r="E908" s="5"/>
      <c r="F908" s="5"/>
      <c r="G908" s="10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ht="15.75" customHeight="1">
      <c r="A909" s="5"/>
      <c r="B909" s="5"/>
      <c r="C909" s="5"/>
      <c r="D909" s="5"/>
      <c r="E909" s="5"/>
      <c r="F909" s="5"/>
      <c r="G909" s="10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ht="15.75" customHeight="1">
      <c r="A910" s="5"/>
      <c r="B910" s="5"/>
      <c r="C910" s="5"/>
      <c r="D910" s="5"/>
      <c r="E910" s="5"/>
      <c r="F910" s="5"/>
      <c r="G910" s="10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ht="15.75" customHeight="1">
      <c r="A911" s="5"/>
      <c r="B911" s="5"/>
      <c r="C911" s="5"/>
      <c r="D911" s="5"/>
      <c r="E911" s="5"/>
      <c r="F911" s="5"/>
      <c r="G911" s="10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ht="15.75" customHeight="1">
      <c r="A912" s="5"/>
      <c r="B912" s="5"/>
      <c r="C912" s="5"/>
      <c r="D912" s="5"/>
      <c r="E912" s="5"/>
      <c r="F912" s="5"/>
      <c r="G912" s="10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ht="15.75" customHeight="1">
      <c r="A913" s="5"/>
      <c r="B913" s="5"/>
      <c r="C913" s="5"/>
      <c r="D913" s="5"/>
      <c r="E913" s="5"/>
      <c r="F913" s="5"/>
      <c r="G913" s="10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ht="15.75" customHeight="1">
      <c r="A914" s="5"/>
      <c r="B914" s="5"/>
      <c r="C914" s="5"/>
      <c r="D914" s="5"/>
      <c r="E914" s="5"/>
      <c r="F914" s="5"/>
      <c r="G914" s="10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ht="15.75" customHeight="1">
      <c r="A915" s="5"/>
      <c r="B915" s="5"/>
      <c r="C915" s="5"/>
      <c r="D915" s="5"/>
      <c r="E915" s="5"/>
      <c r="F915" s="5"/>
      <c r="G915" s="10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ht="15.75" customHeight="1">
      <c r="A916" s="5"/>
      <c r="B916" s="5"/>
      <c r="C916" s="5"/>
      <c r="D916" s="5"/>
      <c r="E916" s="5"/>
      <c r="F916" s="5"/>
      <c r="G916" s="10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ht="15.75" customHeight="1">
      <c r="A917" s="5"/>
      <c r="B917" s="5"/>
      <c r="C917" s="5"/>
      <c r="D917" s="5"/>
      <c r="E917" s="5"/>
      <c r="F917" s="5"/>
      <c r="G917" s="10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ht="15.75" customHeight="1">
      <c r="A918" s="5"/>
      <c r="B918" s="5"/>
      <c r="C918" s="5"/>
      <c r="D918" s="5"/>
      <c r="E918" s="5"/>
      <c r="F918" s="5"/>
      <c r="G918" s="10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ht="15.75" customHeight="1">
      <c r="A919" s="5"/>
      <c r="B919" s="5"/>
      <c r="C919" s="5"/>
      <c r="D919" s="5"/>
      <c r="E919" s="5"/>
      <c r="F919" s="5"/>
      <c r="G919" s="10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ht="15.75" customHeight="1">
      <c r="A920" s="5"/>
      <c r="B920" s="5"/>
      <c r="C920" s="5"/>
      <c r="D920" s="5"/>
      <c r="E920" s="5"/>
      <c r="F920" s="5"/>
      <c r="G920" s="10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ht="15.75" customHeight="1">
      <c r="A921" s="5"/>
      <c r="B921" s="5"/>
      <c r="C921" s="5"/>
      <c r="D921" s="5"/>
      <c r="E921" s="5"/>
      <c r="F921" s="5"/>
      <c r="G921" s="10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ht="15.75" customHeight="1">
      <c r="A922" s="5"/>
      <c r="B922" s="5"/>
      <c r="C922" s="5"/>
      <c r="D922" s="5"/>
      <c r="E922" s="5"/>
      <c r="F922" s="5"/>
      <c r="G922" s="10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ht="15.75" customHeight="1">
      <c r="A923" s="5"/>
      <c r="B923" s="5"/>
      <c r="C923" s="5"/>
      <c r="D923" s="5"/>
      <c r="E923" s="5"/>
      <c r="F923" s="5"/>
      <c r="G923" s="10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ht="15.75" customHeight="1">
      <c r="A924" s="5"/>
      <c r="B924" s="5"/>
      <c r="C924" s="5"/>
      <c r="D924" s="5"/>
      <c r="E924" s="5"/>
      <c r="F924" s="5"/>
      <c r="G924" s="10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ht="15.75" customHeight="1">
      <c r="A925" s="5"/>
      <c r="B925" s="5"/>
      <c r="C925" s="5"/>
      <c r="D925" s="5"/>
      <c r="E925" s="5"/>
      <c r="F925" s="5"/>
      <c r="G925" s="10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ht="15.75" customHeight="1">
      <c r="A926" s="5"/>
      <c r="B926" s="5"/>
      <c r="C926" s="5"/>
      <c r="D926" s="5"/>
      <c r="E926" s="5"/>
      <c r="F926" s="5"/>
      <c r="G926" s="10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ht="15.75" customHeight="1">
      <c r="A927" s="5"/>
      <c r="B927" s="5"/>
      <c r="C927" s="5"/>
      <c r="D927" s="5"/>
      <c r="E927" s="5"/>
      <c r="F927" s="5"/>
      <c r="G927" s="10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ht="15.75" customHeight="1">
      <c r="A928" s="5"/>
      <c r="B928" s="5"/>
      <c r="C928" s="5"/>
      <c r="D928" s="5"/>
      <c r="E928" s="5"/>
      <c r="F928" s="5"/>
      <c r="G928" s="10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ht="15.75" customHeight="1">
      <c r="A929" s="5"/>
      <c r="B929" s="5"/>
      <c r="C929" s="5"/>
      <c r="D929" s="5"/>
      <c r="E929" s="5"/>
      <c r="F929" s="5"/>
      <c r="G929" s="10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ht="15.75" customHeight="1">
      <c r="A930" s="5"/>
      <c r="B930" s="5"/>
      <c r="C930" s="5"/>
      <c r="D930" s="5"/>
      <c r="E930" s="5"/>
      <c r="F930" s="5"/>
      <c r="G930" s="10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ht="15.75" customHeight="1">
      <c r="A931" s="5"/>
      <c r="B931" s="5"/>
      <c r="C931" s="5"/>
      <c r="D931" s="5"/>
      <c r="E931" s="5"/>
      <c r="F931" s="5"/>
      <c r="G931" s="10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ht="15.75" customHeight="1">
      <c r="A932" s="5"/>
      <c r="B932" s="5"/>
      <c r="C932" s="5"/>
      <c r="D932" s="5"/>
      <c r="E932" s="5"/>
      <c r="F932" s="5"/>
      <c r="G932" s="10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ht="15.75" customHeight="1">
      <c r="A933" s="5"/>
      <c r="B933" s="5"/>
      <c r="C933" s="5"/>
      <c r="D933" s="5"/>
      <c r="E933" s="5"/>
      <c r="F933" s="5"/>
      <c r="G933" s="10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ht="15.75" customHeight="1">
      <c r="A934" s="5"/>
      <c r="B934" s="5"/>
      <c r="C934" s="5"/>
      <c r="D934" s="5"/>
      <c r="E934" s="5"/>
      <c r="F934" s="5"/>
      <c r="G934" s="10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ht="15.75" customHeight="1">
      <c r="A935" s="5"/>
      <c r="B935" s="5"/>
      <c r="C935" s="5"/>
      <c r="D935" s="5"/>
      <c r="E935" s="5"/>
      <c r="F935" s="5"/>
      <c r="G935" s="10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ht="15.75" customHeight="1">
      <c r="A936" s="5"/>
      <c r="B936" s="5"/>
      <c r="C936" s="5"/>
      <c r="D936" s="5"/>
      <c r="E936" s="5"/>
      <c r="F936" s="5"/>
      <c r="G936" s="10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ht="15.75" customHeight="1">
      <c r="A937" s="5"/>
      <c r="B937" s="5"/>
      <c r="C937" s="5"/>
      <c r="D937" s="5"/>
      <c r="E937" s="5"/>
      <c r="F937" s="5"/>
      <c r="G937" s="10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ht="15.75" customHeight="1">
      <c r="A938" s="5"/>
      <c r="B938" s="5"/>
      <c r="C938" s="5"/>
      <c r="D938" s="5"/>
      <c r="E938" s="5"/>
      <c r="F938" s="5"/>
      <c r="G938" s="10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ht="15.75" customHeight="1">
      <c r="A939" s="5"/>
      <c r="B939" s="5"/>
      <c r="C939" s="5"/>
      <c r="D939" s="5"/>
      <c r="E939" s="5"/>
      <c r="F939" s="5"/>
      <c r="G939" s="10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ht="15.75" customHeight="1">
      <c r="A940" s="5"/>
      <c r="B940" s="5"/>
      <c r="C940" s="5"/>
      <c r="D940" s="5"/>
      <c r="E940" s="5"/>
      <c r="F940" s="5"/>
      <c r="G940" s="10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ht="15.75" customHeight="1">
      <c r="A941" s="5"/>
      <c r="B941" s="5"/>
      <c r="C941" s="5"/>
      <c r="D941" s="5"/>
      <c r="E941" s="5"/>
      <c r="F941" s="5"/>
      <c r="G941" s="10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ht="15.75" customHeight="1">
      <c r="A942" s="5"/>
      <c r="B942" s="5"/>
      <c r="C942" s="5"/>
      <c r="D942" s="5"/>
      <c r="E942" s="5"/>
      <c r="F942" s="5"/>
      <c r="G942" s="10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ht="15.75" customHeight="1">
      <c r="A943" s="5"/>
      <c r="B943" s="5"/>
      <c r="C943" s="5"/>
      <c r="D943" s="5"/>
      <c r="E943" s="5"/>
      <c r="F943" s="5"/>
      <c r="G943" s="10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ht="15.75" customHeight="1">
      <c r="A944" s="5"/>
      <c r="B944" s="5"/>
      <c r="C944" s="5"/>
      <c r="D944" s="5"/>
      <c r="E944" s="5"/>
      <c r="F944" s="5"/>
      <c r="G944" s="10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ht="15.75" customHeight="1">
      <c r="A945" s="5"/>
      <c r="B945" s="5"/>
      <c r="C945" s="5"/>
      <c r="D945" s="5"/>
      <c r="E945" s="5"/>
      <c r="F945" s="5"/>
      <c r="G945" s="10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ht="15.75" customHeight="1">
      <c r="A946" s="5"/>
      <c r="B946" s="5"/>
      <c r="C946" s="5"/>
      <c r="D946" s="5"/>
      <c r="E946" s="5"/>
      <c r="F946" s="5"/>
      <c r="G946" s="10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ht="15.75" customHeight="1">
      <c r="A947" s="5"/>
      <c r="B947" s="5"/>
      <c r="C947" s="5"/>
      <c r="D947" s="5"/>
      <c r="E947" s="5"/>
      <c r="F947" s="5"/>
      <c r="G947" s="10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ht="15.75" customHeight="1">
      <c r="A948" s="5"/>
      <c r="B948" s="5"/>
      <c r="C948" s="5"/>
      <c r="D948" s="5"/>
      <c r="E948" s="5"/>
      <c r="F948" s="5"/>
      <c r="G948" s="10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ht="15.75" customHeight="1">
      <c r="A949" s="5"/>
      <c r="B949" s="5"/>
      <c r="C949" s="5"/>
      <c r="D949" s="5"/>
      <c r="E949" s="5"/>
      <c r="F949" s="5"/>
      <c r="G949" s="10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ht="15.75" customHeight="1">
      <c r="A950" s="5"/>
      <c r="B950" s="5"/>
      <c r="C950" s="5"/>
      <c r="D950" s="5"/>
      <c r="E950" s="5"/>
      <c r="F950" s="5"/>
      <c r="G950" s="10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ht="15.75" customHeight="1">
      <c r="A951" s="5"/>
      <c r="B951" s="5"/>
      <c r="C951" s="5"/>
      <c r="D951" s="5"/>
      <c r="E951" s="5"/>
      <c r="F951" s="5"/>
      <c r="G951" s="10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ht="15.75" customHeight="1">
      <c r="A952" s="5"/>
      <c r="B952" s="5"/>
      <c r="C952" s="5"/>
      <c r="D952" s="5"/>
      <c r="E952" s="5"/>
      <c r="F952" s="5"/>
      <c r="G952" s="10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ht="15.75" customHeight="1">
      <c r="A953" s="5"/>
      <c r="B953" s="5"/>
      <c r="C953" s="5"/>
      <c r="D953" s="5"/>
      <c r="E953" s="5"/>
      <c r="F953" s="5"/>
      <c r="G953" s="10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ht="15.75" customHeight="1">
      <c r="A954" s="5"/>
      <c r="B954" s="5"/>
      <c r="C954" s="5"/>
      <c r="D954" s="5"/>
      <c r="E954" s="5"/>
      <c r="F954" s="5"/>
      <c r="G954" s="10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ht="15.75" customHeight="1">
      <c r="A955" s="5"/>
      <c r="B955" s="5"/>
      <c r="C955" s="5"/>
      <c r="D955" s="5"/>
      <c r="E955" s="5"/>
      <c r="F955" s="5"/>
      <c r="G955" s="10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ht="15.75" customHeight="1">
      <c r="A956" s="5"/>
      <c r="B956" s="5"/>
      <c r="C956" s="5"/>
      <c r="D956" s="5"/>
      <c r="E956" s="5"/>
      <c r="F956" s="5"/>
      <c r="G956" s="10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ht="15.75" customHeight="1">
      <c r="A957" s="5"/>
      <c r="B957" s="5"/>
      <c r="C957" s="5"/>
      <c r="D957" s="5"/>
      <c r="E957" s="5"/>
      <c r="F957" s="5"/>
      <c r="G957" s="10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ht="15.75" customHeight="1">
      <c r="A958" s="5"/>
      <c r="B958" s="5"/>
      <c r="C958" s="5"/>
      <c r="D958" s="5"/>
      <c r="E958" s="5"/>
      <c r="F958" s="5"/>
      <c r="G958" s="10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ht="15.75" customHeight="1">
      <c r="A959" s="5"/>
      <c r="B959" s="5"/>
      <c r="C959" s="5"/>
      <c r="D959" s="5"/>
      <c r="E959" s="5"/>
      <c r="F959" s="5"/>
      <c r="G959" s="10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ht="15.75" customHeight="1">
      <c r="A960" s="5"/>
      <c r="B960" s="5"/>
      <c r="C960" s="5"/>
      <c r="D960" s="5"/>
      <c r="E960" s="5"/>
      <c r="F960" s="5"/>
      <c r="G960" s="10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ht="15.75" customHeight="1">
      <c r="A961" s="5"/>
      <c r="B961" s="5"/>
      <c r="C961" s="5"/>
      <c r="D961" s="5"/>
      <c r="E961" s="5"/>
      <c r="F961" s="5"/>
      <c r="G961" s="10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ht="15.75" customHeight="1">
      <c r="A962" s="5"/>
      <c r="B962" s="5"/>
      <c r="C962" s="5"/>
      <c r="D962" s="5"/>
      <c r="E962" s="5"/>
      <c r="F962" s="5"/>
      <c r="G962" s="10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ht="15.75" customHeight="1">
      <c r="A963" s="5"/>
      <c r="B963" s="5"/>
      <c r="C963" s="5"/>
      <c r="D963" s="5"/>
      <c r="E963" s="5"/>
      <c r="F963" s="5"/>
      <c r="G963" s="10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ht="15.75" customHeight="1">
      <c r="A964" s="5"/>
      <c r="B964" s="5"/>
      <c r="C964" s="5"/>
      <c r="D964" s="5"/>
      <c r="E964" s="5"/>
      <c r="F964" s="5"/>
      <c r="G964" s="10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ht="15.75" customHeight="1">
      <c r="A965" s="5"/>
      <c r="B965" s="5"/>
      <c r="C965" s="5"/>
      <c r="D965" s="5"/>
      <c r="E965" s="5"/>
      <c r="F965" s="5"/>
      <c r="G965" s="10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ht="15.75" customHeight="1">
      <c r="A966" s="5"/>
      <c r="B966" s="5"/>
      <c r="C966" s="5"/>
      <c r="D966" s="5"/>
      <c r="E966" s="5"/>
      <c r="F966" s="5"/>
      <c r="G966" s="10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ht="15.75" customHeight="1">
      <c r="A967" s="5"/>
      <c r="B967" s="5"/>
      <c r="C967" s="5"/>
      <c r="D967" s="5"/>
      <c r="E967" s="5"/>
      <c r="F967" s="5"/>
      <c r="G967" s="10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ht="15.75" customHeight="1">
      <c r="A968" s="5"/>
      <c r="B968" s="5"/>
      <c r="C968" s="5"/>
      <c r="D968" s="5"/>
      <c r="E968" s="5"/>
      <c r="F968" s="5"/>
      <c r="G968" s="10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ht="15.75" customHeight="1">
      <c r="A969" s="5"/>
      <c r="B969" s="5"/>
      <c r="C969" s="5"/>
      <c r="D969" s="5"/>
      <c r="E969" s="5"/>
      <c r="F969" s="5"/>
      <c r="G969" s="10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ht="15.75" customHeight="1">
      <c r="A970" s="5"/>
      <c r="B970" s="5"/>
      <c r="C970" s="5"/>
      <c r="D970" s="5"/>
      <c r="E970" s="5"/>
      <c r="F970" s="5"/>
      <c r="G970" s="10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ht="15.75" customHeight="1">
      <c r="A971" s="5"/>
      <c r="B971" s="5"/>
      <c r="C971" s="5"/>
      <c r="D971" s="5"/>
      <c r="E971" s="5"/>
      <c r="F971" s="5"/>
      <c r="G971" s="10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ht="15.75" customHeight="1">
      <c r="A972" s="5"/>
      <c r="B972" s="5"/>
      <c r="C972" s="5"/>
      <c r="D972" s="5"/>
      <c r="E972" s="5"/>
      <c r="F972" s="5"/>
      <c r="G972" s="10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ht="15.75" customHeight="1">
      <c r="A973" s="5"/>
      <c r="B973" s="5"/>
      <c r="C973" s="5"/>
      <c r="D973" s="5"/>
      <c r="E973" s="5"/>
      <c r="F973" s="5"/>
      <c r="G973" s="10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ht="15.75" customHeight="1">
      <c r="A974" s="5"/>
      <c r="B974" s="5"/>
      <c r="C974" s="5"/>
      <c r="D974" s="5"/>
      <c r="E974" s="5"/>
      <c r="F974" s="5"/>
      <c r="G974" s="10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ht="15.75" customHeight="1">
      <c r="A975" s="5"/>
      <c r="B975" s="5"/>
      <c r="C975" s="5"/>
      <c r="D975" s="5"/>
      <c r="E975" s="5"/>
      <c r="F975" s="5"/>
      <c r="G975" s="10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ht="15.75" customHeight="1">
      <c r="A976" s="5"/>
      <c r="B976" s="5"/>
      <c r="C976" s="5"/>
      <c r="D976" s="5"/>
      <c r="E976" s="5"/>
      <c r="F976" s="5"/>
      <c r="G976" s="10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ht="15.75" customHeight="1">
      <c r="A977" s="5"/>
      <c r="B977" s="5"/>
      <c r="C977" s="5"/>
      <c r="D977" s="5"/>
      <c r="E977" s="5"/>
      <c r="F977" s="5"/>
      <c r="G977" s="10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ht="15.75" customHeight="1">
      <c r="A978" s="5"/>
      <c r="B978" s="5"/>
      <c r="C978" s="5"/>
      <c r="D978" s="5"/>
      <c r="E978" s="5"/>
      <c r="F978" s="5"/>
      <c r="G978" s="10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ht="15.75" customHeight="1">
      <c r="A979" s="5"/>
      <c r="B979" s="5"/>
      <c r="C979" s="5"/>
      <c r="D979" s="5"/>
      <c r="E979" s="5"/>
      <c r="F979" s="5"/>
      <c r="G979" s="10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ht="15.75" customHeight="1">
      <c r="A980" s="5"/>
      <c r="B980" s="5"/>
      <c r="C980" s="5"/>
      <c r="D980" s="5"/>
      <c r="E980" s="5"/>
      <c r="F980" s="5"/>
      <c r="G980" s="10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ht="15.75" customHeight="1">
      <c r="A981" s="5"/>
      <c r="B981" s="5"/>
      <c r="C981" s="5"/>
      <c r="D981" s="5"/>
      <c r="E981" s="5"/>
      <c r="F981" s="5"/>
      <c r="G981" s="10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ht="15.75" customHeight="1">
      <c r="A982" s="5"/>
      <c r="B982" s="5"/>
      <c r="C982" s="5"/>
      <c r="D982" s="5"/>
      <c r="E982" s="5"/>
      <c r="F982" s="5"/>
      <c r="G982" s="10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ht="15.75" customHeight="1">
      <c r="A983" s="5"/>
      <c r="B983" s="5"/>
      <c r="C983" s="5"/>
      <c r="D983" s="5"/>
      <c r="E983" s="5"/>
      <c r="F983" s="5"/>
      <c r="G983" s="10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ht="15.75" customHeight="1">
      <c r="A984" s="5"/>
      <c r="B984" s="5"/>
      <c r="C984" s="5"/>
      <c r="D984" s="5"/>
      <c r="E984" s="5"/>
      <c r="F984" s="5"/>
      <c r="G984" s="10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ht="15.75" customHeight="1">
      <c r="A985" s="5"/>
      <c r="B985" s="5"/>
      <c r="C985" s="5"/>
      <c r="D985" s="5"/>
      <c r="E985" s="5"/>
      <c r="F985" s="5"/>
      <c r="G985" s="10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ht="15.75" customHeight="1">
      <c r="A986" s="5"/>
      <c r="B986" s="5"/>
      <c r="C986" s="5"/>
      <c r="D986" s="5"/>
      <c r="E986" s="5"/>
      <c r="F986" s="5"/>
      <c r="G986" s="10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ht="15.75" customHeight="1">
      <c r="A987" s="5"/>
      <c r="B987" s="5"/>
      <c r="C987" s="5"/>
      <c r="D987" s="5"/>
      <c r="E987" s="5"/>
      <c r="F987" s="5"/>
      <c r="G987" s="10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ht="15.75" customHeight="1">
      <c r="A988" s="5"/>
      <c r="B988" s="5"/>
      <c r="C988" s="5"/>
      <c r="D988" s="5"/>
      <c r="E988" s="5"/>
      <c r="F988" s="5"/>
      <c r="G988" s="10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ht="15.75" customHeight="1">
      <c r="A989" s="5"/>
      <c r="B989" s="5"/>
      <c r="C989" s="5"/>
      <c r="D989" s="5"/>
      <c r="E989" s="5"/>
      <c r="F989" s="5"/>
      <c r="G989" s="10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ht="15.75" customHeight="1">
      <c r="A990" s="5"/>
      <c r="B990" s="5"/>
      <c r="C990" s="5"/>
      <c r="D990" s="5"/>
      <c r="E990" s="5"/>
      <c r="F990" s="5"/>
      <c r="G990" s="10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ht="15.75" customHeight="1">
      <c r="A991" s="5"/>
      <c r="B991" s="5"/>
      <c r="C991" s="5"/>
      <c r="D991" s="5"/>
      <c r="E991" s="5"/>
      <c r="F991" s="5"/>
      <c r="G991" s="10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ht="15.75" customHeight="1">
      <c r="A992" s="5"/>
      <c r="B992" s="5"/>
      <c r="C992" s="5"/>
      <c r="D992" s="5"/>
      <c r="E992" s="5"/>
      <c r="F992" s="5"/>
      <c r="G992" s="10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ht="15.75" customHeight="1">
      <c r="A993" s="5"/>
      <c r="B993" s="5"/>
      <c r="C993" s="5"/>
      <c r="D993" s="5"/>
      <c r="E993" s="5"/>
      <c r="F993" s="5"/>
      <c r="G993" s="10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ht="15.75" customHeight="1">
      <c r="A994" s="5"/>
      <c r="B994" s="5"/>
      <c r="C994" s="5"/>
      <c r="D994" s="5"/>
      <c r="E994" s="5"/>
      <c r="F994" s="5"/>
      <c r="G994" s="10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ht="15.75" customHeight="1">
      <c r="A995" s="5"/>
      <c r="B995" s="5"/>
      <c r="C995" s="5"/>
      <c r="D995" s="5"/>
      <c r="E995" s="5"/>
      <c r="F995" s="5"/>
      <c r="G995" s="10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ht="15.75" customHeight="1">
      <c r="A996" s="5"/>
      <c r="B996" s="5"/>
      <c r="C996" s="5"/>
      <c r="D996" s="5"/>
      <c r="E996" s="5"/>
      <c r="F996" s="5"/>
      <c r="G996" s="10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ht="15.75" customHeight="1">
      <c r="A997" s="5"/>
      <c r="B997" s="5"/>
      <c r="C997" s="5"/>
      <c r="D997" s="5"/>
      <c r="E997" s="5"/>
      <c r="F997" s="5"/>
      <c r="G997" s="10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ht="15.75" customHeight="1">
      <c r="A998" s="5"/>
      <c r="B998" s="5"/>
      <c r="C998" s="5"/>
      <c r="D998" s="5"/>
      <c r="E998" s="5"/>
      <c r="F998" s="5"/>
      <c r="G998" s="10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ht="15.75" customHeight="1">
      <c r="A999" s="5"/>
      <c r="B999" s="5"/>
      <c r="C999" s="5"/>
      <c r="D999" s="5"/>
      <c r="E999" s="5"/>
      <c r="F999" s="5"/>
      <c r="G999" s="10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ht="15.75" customHeight="1">
      <c r="A1000" s="5"/>
      <c r="B1000" s="5"/>
      <c r="C1000" s="5"/>
      <c r="D1000" s="5"/>
      <c r="E1000" s="5"/>
      <c r="F1000" s="5"/>
      <c r="G1000" s="10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autoFilter ref="$A$1:$AD$157"/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5"/>
      <c r="V1" s="5"/>
      <c r="W1" s="5"/>
      <c r="X1" s="5"/>
      <c r="Y1" s="5"/>
      <c r="Z1" s="5"/>
    </row>
    <row r="2">
      <c r="A2" s="6" t="s">
        <v>24</v>
      </c>
      <c r="B2" s="6" t="s">
        <v>32</v>
      </c>
      <c r="C2" s="6" t="s">
        <v>26</v>
      </c>
      <c r="D2" s="6" t="s">
        <v>27</v>
      </c>
      <c r="E2" s="6" t="s">
        <v>33</v>
      </c>
      <c r="F2" s="6" t="s">
        <v>34</v>
      </c>
      <c r="G2" s="7">
        <v>127.6</v>
      </c>
      <c r="H2" s="6" t="s">
        <v>35</v>
      </c>
      <c r="I2" s="6" t="s">
        <v>37</v>
      </c>
      <c r="J2" s="8">
        <v>363.0</v>
      </c>
      <c r="K2" s="6" t="s">
        <v>40</v>
      </c>
      <c r="L2" s="6" t="s">
        <v>42</v>
      </c>
      <c r="M2" s="6" t="s">
        <v>44</v>
      </c>
      <c r="N2" s="6" t="s">
        <v>41</v>
      </c>
      <c r="O2" s="6" t="s">
        <v>47</v>
      </c>
      <c r="P2" s="8" t="s">
        <v>49</v>
      </c>
      <c r="Q2" s="6" t="s">
        <v>50</v>
      </c>
      <c r="R2" s="6" t="s">
        <v>48</v>
      </c>
      <c r="S2" s="6" t="s">
        <v>48</v>
      </c>
      <c r="T2" s="6" t="s">
        <v>52</v>
      </c>
      <c r="U2" s="5"/>
      <c r="V2" s="5"/>
      <c r="W2" s="5"/>
      <c r="X2" s="5"/>
      <c r="Y2" s="5"/>
      <c r="Z2" s="5"/>
    </row>
    <row r="3">
      <c r="A3" s="6" t="s">
        <v>24</v>
      </c>
      <c r="B3" s="6" t="s">
        <v>32</v>
      </c>
      <c r="C3" s="6" t="s">
        <v>53</v>
      </c>
      <c r="D3" s="6" t="s">
        <v>54</v>
      </c>
      <c r="E3" s="6" t="s">
        <v>33</v>
      </c>
      <c r="F3" s="6" t="s">
        <v>34</v>
      </c>
      <c r="G3" s="7">
        <v>191.39999999999998</v>
      </c>
      <c r="H3" s="6" t="s">
        <v>55</v>
      </c>
      <c r="I3" s="6" t="s">
        <v>48</v>
      </c>
      <c r="J3" s="8">
        <v>366.0</v>
      </c>
      <c r="K3" s="6" t="s">
        <v>53</v>
      </c>
      <c r="L3" s="6" t="s">
        <v>56</v>
      </c>
      <c r="M3" s="6" t="s">
        <v>57</v>
      </c>
      <c r="N3" s="6" t="s">
        <v>58</v>
      </c>
      <c r="O3" s="6" t="s">
        <v>47</v>
      </c>
      <c r="P3" s="8" t="s">
        <v>59</v>
      </c>
      <c r="Q3" s="6" t="s">
        <v>50</v>
      </c>
      <c r="R3" s="6" t="s">
        <v>48</v>
      </c>
      <c r="S3" s="6" t="s">
        <v>48</v>
      </c>
      <c r="T3" s="6" t="s">
        <v>52</v>
      </c>
      <c r="U3" s="5"/>
      <c r="V3" s="5"/>
      <c r="W3" s="5"/>
      <c r="X3" s="5"/>
      <c r="Y3" s="5"/>
      <c r="Z3" s="5"/>
    </row>
    <row r="4">
      <c r="A4" s="6" t="s">
        <v>24</v>
      </c>
      <c r="B4" s="6" t="s">
        <v>32</v>
      </c>
      <c r="C4" s="6" t="s">
        <v>53</v>
      </c>
      <c r="D4" s="6" t="s">
        <v>27</v>
      </c>
      <c r="E4" s="6" t="s">
        <v>33</v>
      </c>
      <c r="F4" s="6" t="s">
        <v>34</v>
      </c>
      <c r="G4" s="7">
        <v>229.67999999999998</v>
      </c>
      <c r="H4" s="6" t="s">
        <v>60</v>
      </c>
      <c r="I4" s="6" t="s">
        <v>48</v>
      </c>
      <c r="J4" s="8">
        <v>367.0</v>
      </c>
      <c r="K4" s="6" t="s">
        <v>53</v>
      </c>
      <c r="L4" s="6" t="s">
        <v>56</v>
      </c>
      <c r="M4" s="6" t="s">
        <v>57</v>
      </c>
      <c r="N4" s="6" t="s">
        <v>58</v>
      </c>
      <c r="O4" s="6" t="s">
        <v>47</v>
      </c>
      <c r="P4" s="8" t="s">
        <v>61</v>
      </c>
      <c r="Q4" s="6" t="s">
        <v>50</v>
      </c>
      <c r="R4" s="6" t="s">
        <v>48</v>
      </c>
      <c r="S4" s="6" t="s">
        <v>48</v>
      </c>
      <c r="T4" s="6" t="s">
        <v>52</v>
      </c>
      <c r="U4" s="5"/>
      <c r="V4" s="5"/>
      <c r="W4" s="5"/>
      <c r="X4" s="5"/>
      <c r="Y4" s="5"/>
      <c r="Z4" s="5"/>
    </row>
    <row r="5">
      <c r="A5" s="6" t="s">
        <v>24</v>
      </c>
      <c r="B5" s="6" t="s">
        <v>32</v>
      </c>
      <c r="C5" s="6" t="s">
        <v>62</v>
      </c>
      <c r="D5" s="6" t="s">
        <v>63</v>
      </c>
      <c r="E5" s="6" t="s">
        <v>33</v>
      </c>
      <c r="F5" s="6" t="s">
        <v>34</v>
      </c>
      <c r="G5" s="7">
        <v>70.75999999999999</v>
      </c>
      <c r="H5" s="6" t="s">
        <v>64</v>
      </c>
      <c r="I5" s="6" t="s">
        <v>48</v>
      </c>
      <c r="J5" s="8">
        <v>356.0</v>
      </c>
      <c r="K5" s="6" t="s">
        <v>62</v>
      </c>
      <c r="L5" s="6" t="s">
        <v>65</v>
      </c>
      <c r="M5" s="6" t="s">
        <v>66</v>
      </c>
      <c r="N5" s="6" t="s">
        <v>58</v>
      </c>
      <c r="O5" s="6" t="s">
        <v>47</v>
      </c>
      <c r="P5" s="8" t="s">
        <v>67</v>
      </c>
      <c r="Q5" s="6" t="s">
        <v>50</v>
      </c>
      <c r="R5" s="6" t="s">
        <v>48</v>
      </c>
      <c r="S5" s="6" t="s">
        <v>48</v>
      </c>
      <c r="T5" s="6" t="s">
        <v>52</v>
      </c>
      <c r="U5" s="5"/>
      <c r="V5" s="5"/>
      <c r="W5" s="5"/>
      <c r="X5" s="5"/>
      <c r="Y5" s="5"/>
      <c r="Z5" s="5"/>
    </row>
    <row r="6">
      <c r="A6" s="6" t="s">
        <v>24</v>
      </c>
      <c r="B6" s="6" t="s">
        <v>32</v>
      </c>
      <c r="C6" s="6" t="s">
        <v>62</v>
      </c>
      <c r="D6" s="6" t="s">
        <v>54</v>
      </c>
      <c r="E6" s="6" t="s">
        <v>33</v>
      </c>
      <c r="F6" s="6" t="s">
        <v>34</v>
      </c>
      <c r="G6" s="7">
        <v>96.27999999999999</v>
      </c>
      <c r="H6" s="6" t="s">
        <v>68</v>
      </c>
      <c r="I6" s="6" t="s">
        <v>48</v>
      </c>
      <c r="J6" s="8">
        <v>357.0</v>
      </c>
      <c r="K6" s="6" t="s">
        <v>62</v>
      </c>
      <c r="L6" s="6" t="s">
        <v>69</v>
      </c>
      <c r="M6" s="6" t="s">
        <v>70</v>
      </c>
      <c r="N6" s="6" t="s">
        <v>58</v>
      </c>
      <c r="O6" s="6" t="s">
        <v>47</v>
      </c>
      <c r="P6" s="8" t="s">
        <v>59</v>
      </c>
      <c r="Q6" s="6" t="s">
        <v>50</v>
      </c>
      <c r="R6" s="6" t="s">
        <v>48</v>
      </c>
      <c r="S6" s="6" t="s">
        <v>48</v>
      </c>
      <c r="T6" s="6" t="s">
        <v>52</v>
      </c>
      <c r="U6" s="5"/>
      <c r="V6" s="5"/>
      <c r="W6" s="5"/>
      <c r="X6" s="5"/>
      <c r="Y6" s="5"/>
      <c r="Z6" s="5"/>
    </row>
    <row r="7">
      <c r="A7" s="6" t="s">
        <v>24</v>
      </c>
      <c r="B7" s="6" t="s">
        <v>32</v>
      </c>
      <c r="C7" s="6" t="s">
        <v>62</v>
      </c>
      <c r="D7" s="6" t="s">
        <v>27</v>
      </c>
      <c r="E7" s="6" t="s">
        <v>33</v>
      </c>
      <c r="F7" s="6" t="s">
        <v>34</v>
      </c>
      <c r="G7" s="7">
        <v>109.03999999999999</v>
      </c>
      <c r="H7" s="6" t="s">
        <v>71</v>
      </c>
      <c r="I7" s="6" t="s">
        <v>48</v>
      </c>
      <c r="J7" s="8">
        <v>358.0</v>
      </c>
      <c r="K7" s="6" t="s">
        <v>62</v>
      </c>
      <c r="L7" s="6" t="s">
        <v>69</v>
      </c>
      <c r="M7" s="6" t="s">
        <v>70</v>
      </c>
      <c r="N7" s="6" t="s">
        <v>58</v>
      </c>
      <c r="O7" s="6" t="s">
        <v>47</v>
      </c>
      <c r="P7" s="8" t="s">
        <v>61</v>
      </c>
      <c r="Q7" s="6" t="s">
        <v>50</v>
      </c>
      <c r="R7" s="6" t="s">
        <v>48</v>
      </c>
      <c r="S7" s="6" t="s">
        <v>48</v>
      </c>
      <c r="T7" s="6" t="s">
        <v>52</v>
      </c>
      <c r="U7" s="5"/>
      <c r="V7" s="5"/>
      <c r="W7" s="5"/>
      <c r="X7" s="5"/>
      <c r="Y7" s="5"/>
      <c r="Z7" s="5"/>
    </row>
    <row r="8">
      <c r="A8" s="6" t="s">
        <v>24</v>
      </c>
      <c r="B8" s="6" t="s">
        <v>32</v>
      </c>
      <c r="C8" s="6" t="s">
        <v>72</v>
      </c>
      <c r="D8" s="6" t="s">
        <v>63</v>
      </c>
      <c r="E8" s="6" t="s">
        <v>33</v>
      </c>
      <c r="F8" s="6" t="s">
        <v>34</v>
      </c>
      <c r="G8" s="7">
        <v>83.52</v>
      </c>
      <c r="H8" s="6" t="s">
        <v>73</v>
      </c>
      <c r="I8" s="6" t="s">
        <v>48</v>
      </c>
      <c r="J8" s="8">
        <v>359.0</v>
      </c>
      <c r="K8" s="6" t="s">
        <v>74</v>
      </c>
      <c r="L8" s="6" t="s">
        <v>75</v>
      </c>
      <c r="M8" s="6" t="s">
        <v>76</v>
      </c>
      <c r="N8" s="6" t="s">
        <v>58</v>
      </c>
      <c r="O8" s="6" t="s">
        <v>47</v>
      </c>
      <c r="P8" s="8" t="s">
        <v>67</v>
      </c>
      <c r="Q8" s="6" t="s">
        <v>50</v>
      </c>
      <c r="R8" s="6" t="s">
        <v>48</v>
      </c>
      <c r="S8" s="6" t="s">
        <v>48</v>
      </c>
      <c r="T8" s="6" t="s">
        <v>77</v>
      </c>
      <c r="U8" s="5"/>
      <c r="V8" s="5"/>
      <c r="W8" s="5"/>
      <c r="X8" s="5"/>
      <c r="Y8" s="5"/>
      <c r="Z8" s="5"/>
    </row>
    <row r="9">
      <c r="A9" s="6" t="s">
        <v>24</v>
      </c>
      <c r="B9" s="6" t="s">
        <v>32</v>
      </c>
      <c r="C9" s="6" t="s">
        <v>72</v>
      </c>
      <c r="D9" s="6" t="s">
        <v>54</v>
      </c>
      <c r="E9" s="6" t="s">
        <v>33</v>
      </c>
      <c r="F9" s="6" t="s">
        <v>34</v>
      </c>
      <c r="G9" s="7">
        <v>109.03999999999999</v>
      </c>
      <c r="H9" s="6" t="s">
        <v>78</v>
      </c>
      <c r="I9" s="6" t="s">
        <v>48</v>
      </c>
      <c r="J9" s="8">
        <v>360.0</v>
      </c>
      <c r="K9" s="6" t="s">
        <v>74</v>
      </c>
      <c r="L9" s="6" t="s">
        <v>75</v>
      </c>
      <c r="M9" s="6" t="s">
        <v>76</v>
      </c>
      <c r="N9" s="6" t="s">
        <v>58</v>
      </c>
      <c r="O9" s="6" t="s">
        <v>47</v>
      </c>
      <c r="P9" s="8" t="s">
        <v>59</v>
      </c>
      <c r="Q9" s="6" t="s">
        <v>50</v>
      </c>
      <c r="R9" s="6" t="s">
        <v>48</v>
      </c>
      <c r="S9" s="6" t="s">
        <v>48</v>
      </c>
      <c r="T9" s="6" t="s">
        <v>77</v>
      </c>
      <c r="U9" s="5"/>
      <c r="V9" s="5"/>
      <c r="W9" s="5"/>
      <c r="X9" s="5"/>
      <c r="Y9" s="5"/>
      <c r="Z9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22.43"/>
    <col customWidth="1" min="3" max="3" width="17.43"/>
    <col customWidth="1" min="4" max="4" width="10.71"/>
    <col customWidth="1" min="5" max="5" width="66.43"/>
    <col customWidth="1" min="6" max="6" width="59.0"/>
    <col customWidth="1" min="7" max="7" width="10.71"/>
    <col customWidth="1" hidden="1" min="8" max="8" width="40.43"/>
    <col customWidth="1" hidden="1" min="9" max="9" width="76.86"/>
    <col customWidth="1" hidden="1" min="10" max="10" width="10.71"/>
    <col customWidth="1" hidden="1" min="11" max="11" width="62.14"/>
    <col customWidth="1" hidden="1" min="12" max="12" width="93.43"/>
    <col customWidth="1" hidden="1" min="13" max="13" width="21.86"/>
    <col customWidth="1" hidden="1" min="14" max="19" width="10.71"/>
    <col customWidth="1" hidden="1" min="20" max="20" width="119.14"/>
    <col customWidth="1" min="21" max="21" width="17.29"/>
    <col customWidth="1" min="22" max="2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5">
        <f>51*50/1000000</f>
        <v>0.00255</v>
      </c>
      <c r="V1" s="5">
        <f>600*600/1000000</f>
        <v>0.36</v>
      </c>
      <c r="W1" s="5">
        <f>601*600/1000000</f>
        <v>0.3606</v>
      </c>
      <c r="X1" s="5"/>
      <c r="Y1" s="5"/>
      <c r="Z1" s="5"/>
      <c r="AA1" s="5"/>
    </row>
    <row r="2">
      <c r="A2" s="6" t="s">
        <v>24</v>
      </c>
      <c r="B2" s="6" t="s">
        <v>25</v>
      </c>
      <c r="C2" s="6" t="s">
        <v>26</v>
      </c>
      <c r="D2" s="6" t="s">
        <v>27</v>
      </c>
      <c r="E2" s="6" t="s">
        <v>28</v>
      </c>
      <c r="F2" s="6" t="s">
        <v>29</v>
      </c>
      <c r="G2" s="7">
        <v>127.6</v>
      </c>
      <c r="H2" s="6" t="s">
        <v>30</v>
      </c>
      <c r="I2" s="6" t="s">
        <v>31</v>
      </c>
      <c r="J2" s="8">
        <v>15774.0</v>
      </c>
      <c r="K2" s="6" t="s">
        <v>36</v>
      </c>
      <c r="L2" s="6" t="s">
        <v>38</v>
      </c>
      <c r="M2" s="6" t="s">
        <v>39</v>
      </c>
      <c r="N2" s="6" t="s">
        <v>41</v>
      </c>
      <c r="O2" s="6" t="s">
        <v>43</v>
      </c>
      <c r="P2" s="8" t="s">
        <v>45</v>
      </c>
      <c r="Q2" s="6" t="s">
        <v>46</v>
      </c>
      <c r="R2" s="6" t="s">
        <v>48</v>
      </c>
      <c r="S2" s="6" t="s">
        <v>48</v>
      </c>
      <c r="T2" s="6" t="s">
        <v>51</v>
      </c>
      <c r="U2" s="5">
        <f t="shared" ref="U2:U157" si="1">(14.5+(0.0025*G2))*1.3</f>
        <v>19.2647</v>
      </c>
      <c r="V2" s="5">
        <f>(14.5+(V1*G2)*1.3)</f>
        <v>74.2168</v>
      </c>
      <c r="W2" s="5">
        <f>(14.5+(W1*G2))</f>
        <v>60.51256</v>
      </c>
      <c r="X2" s="5"/>
      <c r="Y2" s="5"/>
      <c r="Z2" s="5"/>
      <c r="AA2" s="5"/>
    </row>
    <row r="3">
      <c r="A3" s="6" t="s">
        <v>24</v>
      </c>
      <c r="B3" s="6" t="s">
        <v>32</v>
      </c>
      <c r="C3" s="6" t="s">
        <v>26</v>
      </c>
      <c r="D3" s="6" t="s">
        <v>27</v>
      </c>
      <c r="E3" s="6" t="s">
        <v>33</v>
      </c>
      <c r="F3" s="6" t="s">
        <v>34</v>
      </c>
      <c r="G3" s="7">
        <v>127.6</v>
      </c>
      <c r="H3" s="6" t="s">
        <v>35</v>
      </c>
      <c r="I3" s="6" t="s">
        <v>37</v>
      </c>
      <c r="J3" s="8">
        <v>363.0</v>
      </c>
      <c r="K3" s="6" t="s">
        <v>40</v>
      </c>
      <c r="L3" s="6" t="s">
        <v>42</v>
      </c>
      <c r="M3" s="6" t="s">
        <v>44</v>
      </c>
      <c r="N3" s="6" t="s">
        <v>41</v>
      </c>
      <c r="O3" s="6" t="s">
        <v>47</v>
      </c>
      <c r="P3" s="8" t="s">
        <v>49</v>
      </c>
      <c r="Q3" s="6" t="s">
        <v>50</v>
      </c>
      <c r="R3" s="6" t="s">
        <v>48</v>
      </c>
      <c r="S3" s="6" t="s">
        <v>48</v>
      </c>
      <c r="T3" s="6" t="s">
        <v>52</v>
      </c>
      <c r="U3" s="5">
        <f t="shared" si="1"/>
        <v>19.2647</v>
      </c>
      <c r="V3" s="5"/>
      <c r="W3" s="5"/>
      <c r="X3" s="5"/>
      <c r="Y3" s="5"/>
      <c r="Z3" s="5"/>
      <c r="AA3" s="5"/>
    </row>
    <row r="4">
      <c r="A4" s="6" t="s">
        <v>24</v>
      </c>
      <c r="B4" s="6" t="s">
        <v>32</v>
      </c>
      <c r="C4" s="6" t="s">
        <v>53</v>
      </c>
      <c r="D4" s="6" t="s">
        <v>54</v>
      </c>
      <c r="E4" s="6" t="s">
        <v>33</v>
      </c>
      <c r="F4" s="6" t="s">
        <v>34</v>
      </c>
      <c r="G4" s="7">
        <v>191.39999999999998</v>
      </c>
      <c r="H4" s="6" t="s">
        <v>55</v>
      </c>
      <c r="I4" s="6" t="s">
        <v>48</v>
      </c>
      <c r="J4" s="8">
        <v>366.0</v>
      </c>
      <c r="K4" s="6" t="s">
        <v>53</v>
      </c>
      <c r="L4" s="6" t="s">
        <v>56</v>
      </c>
      <c r="M4" s="6" t="s">
        <v>57</v>
      </c>
      <c r="N4" s="6" t="s">
        <v>58</v>
      </c>
      <c r="O4" s="6" t="s">
        <v>47</v>
      </c>
      <c r="P4" s="8" t="s">
        <v>59</v>
      </c>
      <c r="Q4" s="6" t="s">
        <v>50</v>
      </c>
      <c r="R4" s="6" t="s">
        <v>48</v>
      </c>
      <c r="S4" s="6" t="s">
        <v>48</v>
      </c>
      <c r="T4" s="6" t="s">
        <v>52</v>
      </c>
      <c r="U4" s="5">
        <f t="shared" si="1"/>
        <v>19.47205</v>
      </c>
      <c r="V4" s="5"/>
      <c r="W4" s="5"/>
      <c r="X4" s="5"/>
      <c r="Y4" s="5"/>
      <c r="Z4" s="5"/>
      <c r="AA4" s="5"/>
    </row>
    <row r="5">
      <c r="A5" s="6" t="s">
        <v>24</v>
      </c>
      <c r="B5" s="6" t="s">
        <v>32</v>
      </c>
      <c r="C5" s="6" t="s">
        <v>53</v>
      </c>
      <c r="D5" s="6" t="s">
        <v>27</v>
      </c>
      <c r="E5" s="6" t="s">
        <v>33</v>
      </c>
      <c r="F5" s="6" t="s">
        <v>34</v>
      </c>
      <c r="G5" s="7">
        <v>229.67999999999998</v>
      </c>
      <c r="H5" s="6" t="s">
        <v>60</v>
      </c>
      <c r="I5" s="6" t="s">
        <v>48</v>
      </c>
      <c r="J5" s="8">
        <v>367.0</v>
      </c>
      <c r="K5" s="6" t="s">
        <v>53</v>
      </c>
      <c r="L5" s="6" t="s">
        <v>56</v>
      </c>
      <c r="M5" s="6" t="s">
        <v>57</v>
      </c>
      <c r="N5" s="6" t="s">
        <v>58</v>
      </c>
      <c r="O5" s="6" t="s">
        <v>47</v>
      </c>
      <c r="P5" s="8" t="s">
        <v>61</v>
      </c>
      <c r="Q5" s="6" t="s">
        <v>50</v>
      </c>
      <c r="R5" s="6" t="s">
        <v>48</v>
      </c>
      <c r="S5" s="6" t="s">
        <v>48</v>
      </c>
      <c r="T5" s="6" t="s">
        <v>52</v>
      </c>
      <c r="U5" s="5">
        <f t="shared" si="1"/>
        <v>19.59646</v>
      </c>
      <c r="V5" s="5"/>
      <c r="W5" s="5"/>
      <c r="X5" s="5"/>
      <c r="Y5" s="5"/>
      <c r="Z5" s="5"/>
      <c r="AA5" s="5"/>
    </row>
    <row r="6">
      <c r="A6" s="6" t="s">
        <v>24</v>
      </c>
      <c r="B6" s="6" t="s">
        <v>32</v>
      </c>
      <c r="C6" s="6" t="s">
        <v>62</v>
      </c>
      <c r="D6" s="6" t="s">
        <v>63</v>
      </c>
      <c r="E6" s="6" t="s">
        <v>33</v>
      </c>
      <c r="F6" s="6" t="s">
        <v>34</v>
      </c>
      <c r="G6" s="7">
        <v>70.75999999999999</v>
      </c>
      <c r="H6" s="6" t="s">
        <v>64</v>
      </c>
      <c r="I6" s="6" t="s">
        <v>48</v>
      </c>
      <c r="J6" s="8">
        <v>356.0</v>
      </c>
      <c r="K6" s="6" t="s">
        <v>62</v>
      </c>
      <c r="L6" s="6" t="s">
        <v>65</v>
      </c>
      <c r="M6" s="6" t="s">
        <v>66</v>
      </c>
      <c r="N6" s="6" t="s">
        <v>58</v>
      </c>
      <c r="O6" s="6" t="s">
        <v>47</v>
      </c>
      <c r="P6" s="8" t="s">
        <v>67</v>
      </c>
      <c r="Q6" s="6" t="s">
        <v>50</v>
      </c>
      <c r="R6" s="6" t="s">
        <v>48</v>
      </c>
      <c r="S6" s="6" t="s">
        <v>48</v>
      </c>
      <c r="T6" s="6" t="s">
        <v>52</v>
      </c>
      <c r="U6" s="5">
        <f t="shared" si="1"/>
        <v>19.07997</v>
      </c>
      <c r="V6" s="5"/>
      <c r="W6" s="5"/>
      <c r="X6" s="5"/>
      <c r="Y6" s="5"/>
      <c r="Z6" s="5"/>
      <c r="AA6" s="5"/>
    </row>
    <row r="7">
      <c r="A7" s="6" t="s">
        <v>24</v>
      </c>
      <c r="B7" s="6" t="s">
        <v>32</v>
      </c>
      <c r="C7" s="6" t="s">
        <v>62</v>
      </c>
      <c r="D7" s="6" t="s">
        <v>54</v>
      </c>
      <c r="E7" s="6" t="s">
        <v>33</v>
      </c>
      <c r="F7" s="6" t="s">
        <v>34</v>
      </c>
      <c r="G7" s="7">
        <v>96.27999999999999</v>
      </c>
      <c r="H7" s="6" t="s">
        <v>68</v>
      </c>
      <c r="I7" s="6" t="s">
        <v>48</v>
      </c>
      <c r="J7" s="8">
        <v>357.0</v>
      </c>
      <c r="K7" s="6" t="s">
        <v>62</v>
      </c>
      <c r="L7" s="6" t="s">
        <v>69</v>
      </c>
      <c r="M7" s="6" t="s">
        <v>70</v>
      </c>
      <c r="N7" s="6" t="s">
        <v>58</v>
      </c>
      <c r="O7" s="6" t="s">
        <v>47</v>
      </c>
      <c r="P7" s="8" t="s">
        <v>59</v>
      </c>
      <c r="Q7" s="6" t="s">
        <v>50</v>
      </c>
      <c r="R7" s="6" t="s">
        <v>48</v>
      </c>
      <c r="S7" s="6" t="s">
        <v>48</v>
      </c>
      <c r="T7" s="6" t="s">
        <v>52</v>
      </c>
      <c r="U7" s="5">
        <f t="shared" si="1"/>
        <v>19.16291</v>
      </c>
      <c r="V7" s="5"/>
      <c r="W7" s="5"/>
      <c r="X7" s="5"/>
      <c r="Y7" s="5"/>
      <c r="Z7" s="5"/>
      <c r="AA7" s="5"/>
    </row>
    <row r="8">
      <c r="A8" s="6" t="s">
        <v>24</v>
      </c>
      <c r="B8" s="6" t="s">
        <v>32</v>
      </c>
      <c r="C8" s="6" t="s">
        <v>62</v>
      </c>
      <c r="D8" s="6" t="s">
        <v>27</v>
      </c>
      <c r="E8" s="6" t="s">
        <v>33</v>
      </c>
      <c r="F8" s="6" t="s">
        <v>34</v>
      </c>
      <c r="G8" s="7">
        <v>109.03999999999999</v>
      </c>
      <c r="H8" s="6" t="s">
        <v>71</v>
      </c>
      <c r="I8" s="6" t="s">
        <v>48</v>
      </c>
      <c r="J8" s="8">
        <v>358.0</v>
      </c>
      <c r="K8" s="6" t="s">
        <v>62</v>
      </c>
      <c r="L8" s="6" t="s">
        <v>69</v>
      </c>
      <c r="M8" s="6" t="s">
        <v>70</v>
      </c>
      <c r="N8" s="6" t="s">
        <v>58</v>
      </c>
      <c r="O8" s="6" t="s">
        <v>47</v>
      </c>
      <c r="P8" s="8" t="s">
        <v>61</v>
      </c>
      <c r="Q8" s="6" t="s">
        <v>50</v>
      </c>
      <c r="R8" s="6" t="s">
        <v>48</v>
      </c>
      <c r="S8" s="6" t="s">
        <v>48</v>
      </c>
      <c r="T8" s="6" t="s">
        <v>52</v>
      </c>
      <c r="U8" s="5">
        <f t="shared" si="1"/>
        <v>19.20438</v>
      </c>
      <c r="V8" s="5"/>
      <c r="W8" s="5"/>
      <c r="X8" s="5"/>
      <c r="Y8" s="5"/>
      <c r="Z8" s="5"/>
      <c r="AA8" s="5"/>
    </row>
    <row r="9">
      <c r="A9" s="6" t="s">
        <v>24</v>
      </c>
      <c r="B9" s="6" t="s">
        <v>32</v>
      </c>
      <c r="C9" s="6" t="s">
        <v>72</v>
      </c>
      <c r="D9" s="6" t="s">
        <v>63</v>
      </c>
      <c r="E9" s="6" t="s">
        <v>33</v>
      </c>
      <c r="F9" s="6" t="s">
        <v>34</v>
      </c>
      <c r="G9" s="7">
        <v>83.52</v>
      </c>
      <c r="H9" s="6" t="s">
        <v>73</v>
      </c>
      <c r="I9" s="6" t="s">
        <v>48</v>
      </c>
      <c r="J9" s="8">
        <v>359.0</v>
      </c>
      <c r="K9" s="6" t="s">
        <v>74</v>
      </c>
      <c r="L9" s="6" t="s">
        <v>75</v>
      </c>
      <c r="M9" s="6" t="s">
        <v>76</v>
      </c>
      <c r="N9" s="6" t="s">
        <v>58</v>
      </c>
      <c r="O9" s="6" t="s">
        <v>47</v>
      </c>
      <c r="P9" s="8" t="s">
        <v>67</v>
      </c>
      <c r="Q9" s="6" t="s">
        <v>50</v>
      </c>
      <c r="R9" s="6" t="s">
        <v>48</v>
      </c>
      <c r="S9" s="6" t="s">
        <v>48</v>
      </c>
      <c r="T9" s="6" t="s">
        <v>77</v>
      </c>
      <c r="U9" s="5">
        <f t="shared" si="1"/>
        <v>19.12144</v>
      </c>
      <c r="V9" s="5"/>
      <c r="W9" s="5"/>
      <c r="X9" s="5"/>
      <c r="Y9" s="5"/>
      <c r="Z9" s="5"/>
      <c r="AA9" s="5"/>
    </row>
    <row r="10">
      <c r="A10" s="6" t="s">
        <v>24</v>
      </c>
      <c r="B10" s="6" t="s">
        <v>32</v>
      </c>
      <c r="C10" s="6" t="s">
        <v>72</v>
      </c>
      <c r="D10" s="6" t="s">
        <v>54</v>
      </c>
      <c r="E10" s="6" t="s">
        <v>33</v>
      </c>
      <c r="F10" s="6" t="s">
        <v>34</v>
      </c>
      <c r="G10" s="7">
        <v>109.03999999999999</v>
      </c>
      <c r="H10" s="6" t="s">
        <v>78</v>
      </c>
      <c r="I10" s="6" t="s">
        <v>48</v>
      </c>
      <c r="J10" s="8">
        <v>360.0</v>
      </c>
      <c r="K10" s="6" t="s">
        <v>74</v>
      </c>
      <c r="L10" s="6" t="s">
        <v>75</v>
      </c>
      <c r="M10" s="6" t="s">
        <v>76</v>
      </c>
      <c r="N10" s="6" t="s">
        <v>58</v>
      </c>
      <c r="O10" s="6" t="s">
        <v>47</v>
      </c>
      <c r="P10" s="8" t="s">
        <v>59</v>
      </c>
      <c r="Q10" s="6" t="s">
        <v>50</v>
      </c>
      <c r="R10" s="6" t="s">
        <v>48</v>
      </c>
      <c r="S10" s="6" t="s">
        <v>48</v>
      </c>
      <c r="T10" s="6" t="s">
        <v>77</v>
      </c>
      <c r="U10" s="5">
        <f t="shared" si="1"/>
        <v>19.20438</v>
      </c>
      <c r="V10" s="5"/>
      <c r="W10" s="5"/>
      <c r="X10" s="5"/>
      <c r="Y10" s="5"/>
      <c r="Z10" s="5"/>
      <c r="AA10" s="5"/>
    </row>
    <row r="11">
      <c r="A11" s="6" t="s">
        <v>24</v>
      </c>
      <c r="B11" s="6" t="s">
        <v>79</v>
      </c>
      <c r="C11" s="6" t="s">
        <v>26</v>
      </c>
      <c r="D11" s="6" t="s">
        <v>27</v>
      </c>
      <c r="E11" s="6" t="s">
        <v>80</v>
      </c>
      <c r="F11" s="6" t="s">
        <v>81</v>
      </c>
      <c r="G11" s="7">
        <v>149.64</v>
      </c>
      <c r="H11" s="6" t="s">
        <v>64</v>
      </c>
      <c r="I11" s="6" t="s">
        <v>31</v>
      </c>
      <c r="J11" s="8">
        <v>797.0</v>
      </c>
      <c r="K11" s="6" t="s">
        <v>36</v>
      </c>
      <c r="L11" s="6" t="s">
        <v>38</v>
      </c>
      <c r="M11" s="6" t="s">
        <v>39</v>
      </c>
      <c r="N11" s="6" t="s">
        <v>41</v>
      </c>
      <c r="O11" s="6" t="s">
        <v>82</v>
      </c>
      <c r="P11" s="8" t="s">
        <v>67</v>
      </c>
      <c r="Q11" s="6" t="s">
        <v>50</v>
      </c>
      <c r="R11" s="6" t="s">
        <v>48</v>
      </c>
      <c r="S11" s="6" t="s">
        <v>48</v>
      </c>
      <c r="T11" s="6" t="s">
        <v>51</v>
      </c>
      <c r="U11" s="5">
        <f t="shared" si="1"/>
        <v>19.33633</v>
      </c>
      <c r="V11" s="5"/>
      <c r="W11" s="5"/>
      <c r="X11" s="5"/>
      <c r="Y11" s="5"/>
      <c r="Z11" s="5"/>
      <c r="AA11" s="5"/>
    </row>
    <row r="12">
      <c r="A12" s="6" t="s">
        <v>24</v>
      </c>
      <c r="B12" s="6" t="s">
        <v>79</v>
      </c>
      <c r="C12" s="6" t="s">
        <v>53</v>
      </c>
      <c r="D12" s="6" t="s">
        <v>54</v>
      </c>
      <c r="E12" s="6" t="s">
        <v>80</v>
      </c>
      <c r="F12" s="6" t="s">
        <v>81</v>
      </c>
      <c r="G12" s="7">
        <v>288.84</v>
      </c>
      <c r="H12" s="6" t="s">
        <v>83</v>
      </c>
      <c r="I12" s="6" t="s">
        <v>84</v>
      </c>
      <c r="J12" s="8">
        <v>537.0</v>
      </c>
      <c r="K12" s="6" t="s">
        <v>85</v>
      </c>
      <c r="L12" s="6" t="s">
        <v>86</v>
      </c>
      <c r="M12" s="6" t="s">
        <v>57</v>
      </c>
      <c r="N12" s="6" t="s">
        <v>58</v>
      </c>
      <c r="O12" s="6" t="s">
        <v>82</v>
      </c>
      <c r="P12" s="8" t="s">
        <v>87</v>
      </c>
      <c r="Q12" s="6" t="s">
        <v>50</v>
      </c>
      <c r="R12" s="6" t="s">
        <v>48</v>
      </c>
      <c r="S12" s="6" t="s">
        <v>48</v>
      </c>
      <c r="T12" s="6" t="s">
        <v>88</v>
      </c>
      <c r="U12" s="5">
        <f t="shared" si="1"/>
        <v>19.78873</v>
      </c>
      <c r="V12" s="5"/>
      <c r="W12" s="5"/>
      <c r="X12" s="5"/>
      <c r="Y12" s="5"/>
      <c r="Z12" s="5"/>
      <c r="AA12" s="5"/>
    </row>
    <row r="13">
      <c r="A13" s="6" t="s">
        <v>24</v>
      </c>
      <c r="B13" s="6" t="s">
        <v>79</v>
      </c>
      <c r="C13" s="6" t="s">
        <v>53</v>
      </c>
      <c r="D13" s="6" t="s">
        <v>27</v>
      </c>
      <c r="E13" s="6" t="s">
        <v>80</v>
      </c>
      <c r="F13" s="6" t="s">
        <v>81</v>
      </c>
      <c r="G13" s="7">
        <v>335.23999999999995</v>
      </c>
      <c r="H13" s="6" t="s">
        <v>83</v>
      </c>
      <c r="I13" s="6" t="s">
        <v>84</v>
      </c>
      <c r="J13" s="8">
        <v>5141.0</v>
      </c>
      <c r="K13" s="6" t="s">
        <v>85</v>
      </c>
      <c r="L13" s="6" t="s">
        <v>86</v>
      </c>
      <c r="M13" s="6" t="s">
        <v>57</v>
      </c>
      <c r="N13" s="6" t="s">
        <v>58</v>
      </c>
      <c r="O13" s="6" t="s">
        <v>82</v>
      </c>
      <c r="P13" s="8" t="s">
        <v>89</v>
      </c>
      <c r="Q13" s="6" t="s">
        <v>50</v>
      </c>
      <c r="R13" s="6" t="s">
        <v>48</v>
      </c>
      <c r="S13" s="6" t="s">
        <v>48</v>
      </c>
      <c r="T13" s="6" t="s">
        <v>88</v>
      </c>
      <c r="U13" s="5">
        <f t="shared" si="1"/>
        <v>19.93953</v>
      </c>
      <c r="V13" s="5"/>
      <c r="W13" s="5"/>
      <c r="X13" s="5"/>
      <c r="Y13" s="5"/>
      <c r="Z13" s="5"/>
      <c r="AA13" s="5"/>
    </row>
    <row r="14">
      <c r="A14" s="6" t="s">
        <v>24</v>
      </c>
      <c r="B14" s="6" t="s">
        <v>79</v>
      </c>
      <c r="C14" s="6" t="s">
        <v>72</v>
      </c>
      <c r="D14" s="6" t="s">
        <v>54</v>
      </c>
      <c r="E14" s="6" t="s">
        <v>80</v>
      </c>
      <c r="F14" s="6" t="s">
        <v>81</v>
      </c>
      <c r="G14" s="7">
        <v>138.04</v>
      </c>
      <c r="H14" s="6" t="s">
        <v>83</v>
      </c>
      <c r="I14" s="6" t="s">
        <v>48</v>
      </c>
      <c r="J14" s="8">
        <v>5120.0</v>
      </c>
      <c r="K14" s="6" t="s">
        <v>74</v>
      </c>
      <c r="L14" s="6" t="s">
        <v>75</v>
      </c>
      <c r="M14" s="6" t="s">
        <v>76</v>
      </c>
      <c r="N14" s="6" t="s">
        <v>58</v>
      </c>
      <c r="O14" s="6" t="s">
        <v>82</v>
      </c>
      <c r="P14" s="8" t="s">
        <v>87</v>
      </c>
      <c r="Q14" s="6" t="s">
        <v>50</v>
      </c>
      <c r="R14" s="6" t="s">
        <v>48</v>
      </c>
      <c r="S14" s="6" t="s">
        <v>48</v>
      </c>
      <c r="T14" s="6" t="s">
        <v>77</v>
      </c>
      <c r="U14" s="5">
        <f t="shared" si="1"/>
        <v>19.29863</v>
      </c>
      <c r="V14" s="5"/>
      <c r="W14" s="5"/>
      <c r="X14" s="5"/>
      <c r="Y14" s="5"/>
      <c r="Z14" s="5"/>
      <c r="AA14" s="5"/>
    </row>
    <row r="15">
      <c r="A15" s="6" t="s">
        <v>24</v>
      </c>
      <c r="B15" s="6" t="s">
        <v>90</v>
      </c>
      <c r="C15" s="6" t="s">
        <v>26</v>
      </c>
      <c r="D15" s="6" t="s">
        <v>27</v>
      </c>
      <c r="E15" s="6" t="s">
        <v>91</v>
      </c>
      <c r="F15" s="6" t="s">
        <v>92</v>
      </c>
      <c r="G15" s="7">
        <v>127.6</v>
      </c>
      <c r="H15" s="6" t="s">
        <v>93</v>
      </c>
      <c r="I15" s="6" t="s">
        <v>37</v>
      </c>
      <c r="J15" s="8">
        <v>397.0</v>
      </c>
      <c r="K15" s="6" t="s">
        <v>40</v>
      </c>
      <c r="L15" s="6" t="s">
        <v>42</v>
      </c>
      <c r="M15" s="6" t="s">
        <v>44</v>
      </c>
      <c r="N15" s="6" t="s">
        <v>41</v>
      </c>
      <c r="O15" s="6" t="s">
        <v>94</v>
      </c>
      <c r="P15" s="8" t="s">
        <v>95</v>
      </c>
      <c r="Q15" s="6" t="s">
        <v>50</v>
      </c>
      <c r="R15" s="6" t="s">
        <v>48</v>
      </c>
      <c r="S15" s="6" t="s">
        <v>48</v>
      </c>
      <c r="T15" s="6" t="s">
        <v>52</v>
      </c>
      <c r="U15" s="5">
        <f t="shared" si="1"/>
        <v>19.2647</v>
      </c>
      <c r="V15" s="5"/>
      <c r="W15" s="5"/>
      <c r="X15" s="5"/>
      <c r="Y15" s="5"/>
      <c r="Z15" s="5"/>
      <c r="AA15" s="5"/>
    </row>
    <row r="16">
      <c r="A16" s="6" t="s">
        <v>24</v>
      </c>
      <c r="B16" s="6" t="s">
        <v>90</v>
      </c>
      <c r="C16" s="6" t="s">
        <v>53</v>
      </c>
      <c r="D16" s="6" t="s">
        <v>54</v>
      </c>
      <c r="E16" s="6" t="s">
        <v>91</v>
      </c>
      <c r="F16" s="6" t="s">
        <v>92</v>
      </c>
      <c r="G16" s="7">
        <v>191.39999999999998</v>
      </c>
      <c r="H16" s="6" t="s">
        <v>96</v>
      </c>
      <c r="I16" s="6" t="s">
        <v>48</v>
      </c>
      <c r="J16" s="8">
        <v>399.0</v>
      </c>
      <c r="K16" s="6" t="s">
        <v>53</v>
      </c>
      <c r="L16" s="6" t="s">
        <v>56</v>
      </c>
      <c r="M16" s="6" t="s">
        <v>57</v>
      </c>
      <c r="N16" s="6" t="s">
        <v>58</v>
      </c>
      <c r="O16" s="6" t="s">
        <v>94</v>
      </c>
      <c r="P16" s="8" t="s">
        <v>97</v>
      </c>
      <c r="Q16" s="6" t="s">
        <v>50</v>
      </c>
      <c r="R16" s="6" t="s">
        <v>48</v>
      </c>
      <c r="S16" s="6" t="s">
        <v>48</v>
      </c>
      <c r="T16" s="6" t="s">
        <v>52</v>
      </c>
      <c r="U16" s="5">
        <f t="shared" si="1"/>
        <v>19.47205</v>
      </c>
      <c r="V16" s="5"/>
      <c r="W16" s="5"/>
      <c r="X16" s="5"/>
      <c r="Y16" s="5"/>
      <c r="Z16" s="5"/>
      <c r="AA16" s="5"/>
    </row>
    <row r="17">
      <c r="A17" s="6" t="s">
        <v>24</v>
      </c>
      <c r="B17" s="6" t="s">
        <v>90</v>
      </c>
      <c r="C17" s="6" t="s">
        <v>53</v>
      </c>
      <c r="D17" s="6" t="s">
        <v>27</v>
      </c>
      <c r="E17" s="6" t="s">
        <v>91</v>
      </c>
      <c r="F17" s="6" t="s">
        <v>92</v>
      </c>
      <c r="G17" s="7">
        <v>229.67999999999998</v>
      </c>
      <c r="H17" s="6" t="s">
        <v>98</v>
      </c>
      <c r="I17" s="6" t="s">
        <v>48</v>
      </c>
      <c r="J17" s="8">
        <v>617.0</v>
      </c>
      <c r="K17" s="6" t="s">
        <v>53</v>
      </c>
      <c r="L17" s="6" t="s">
        <v>56</v>
      </c>
      <c r="M17" s="6" t="s">
        <v>57</v>
      </c>
      <c r="N17" s="6" t="s">
        <v>58</v>
      </c>
      <c r="O17" s="6" t="s">
        <v>94</v>
      </c>
      <c r="P17" s="8" t="s">
        <v>99</v>
      </c>
      <c r="Q17" s="6" t="s">
        <v>50</v>
      </c>
      <c r="R17" s="6" t="s">
        <v>48</v>
      </c>
      <c r="S17" s="6" t="s">
        <v>48</v>
      </c>
      <c r="T17" s="6" t="s">
        <v>52</v>
      </c>
      <c r="U17" s="5">
        <f t="shared" si="1"/>
        <v>19.59646</v>
      </c>
      <c r="V17" s="5"/>
      <c r="W17" s="5"/>
      <c r="X17" s="5"/>
      <c r="Y17" s="5"/>
      <c r="Z17" s="5"/>
      <c r="AA17" s="5"/>
    </row>
    <row r="18">
      <c r="A18" s="6" t="s">
        <v>24</v>
      </c>
      <c r="B18" s="6" t="s">
        <v>90</v>
      </c>
      <c r="C18" s="6" t="s">
        <v>62</v>
      </c>
      <c r="D18" s="6" t="s">
        <v>54</v>
      </c>
      <c r="E18" s="6" t="s">
        <v>91</v>
      </c>
      <c r="F18" s="6" t="s">
        <v>92</v>
      </c>
      <c r="G18" s="7">
        <v>96.27999999999999</v>
      </c>
      <c r="H18" s="6" t="s">
        <v>100</v>
      </c>
      <c r="I18" s="6" t="s">
        <v>48</v>
      </c>
      <c r="J18" s="8">
        <v>391.0</v>
      </c>
      <c r="K18" s="6" t="s">
        <v>62</v>
      </c>
      <c r="L18" s="6" t="s">
        <v>69</v>
      </c>
      <c r="M18" s="6" t="s">
        <v>70</v>
      </c>
      <c r="N18" s="6" t="s">
        <v>58</v>
      </c>
      <c r="O18" s="6" t="s">
        <v>94</v>
      </c>
      <c r="P18" s="8" t="s">
        <v>97</v>
      </c>
      <c r="Q18" s="6" t="s">
        <v>50</v>
      </c>
      <c r="R18" s="6" t="s">
        <v>48</v>
      </c>
      <c r="S18" s="6" t="s">
        <v>48</v>
      </c>
      <c r="T18" s="6" t="s">
        <v>52</v>
      </c>
      <c r="U18" s="5">
        <f t="shared" si="1"/>
        <v>19.16291</v>
      </c>
      <c r="V18" s="5"/>
      <c r="W18" s="5"/>
      <c r="X18" s="5"/>
      <c r="Y18" s="5"/>
      <c r="Z18" s="5"/>
      <c r="AA18" s="5"/>
    </row>
    <row r="19">
      <c r="A19" s="6" t="s">
        <v>24</v>
      </c>
      <c r="B19" s="6" t="s">
        <v>90</v>
      </c>
      <c r="C19" s="6" t="s">
        <v>62</v>
      </c>
      <c r="D19" s="6" t="s">
        <v>27</v>
      </c>
      <c r="E19" s="6" t="s">
        <v>91</v>
      </c>
      <c r="F19" s="6" t="s">
        <v>92</v>
      </c>
      <c r="G19" s="7">
        <v>109.03999999999999</v>
      </c>
      <c r="H19" s="6" t="s">
        <v>101</v>
      </c>
      <c r="I19" s="6" t="s">
        <v>48</v>
      </c>
      <c r="J19" s="8">
        <v>392.0</v>
      </c>
      <c r="K19" s="6" t="s">
        <v>62</v>
      </c>
      <c r="L19" s="6" t="s">
        <v>69</v>
      </c>
      <c r="M19" s="6" t="s">
        <v>70</v>
      </c>
      <c r="N19" s="6" t="s">
        <v>58</v>
      </c>
      <c r="O19" s="6" t="s">
        <v>94</v>
      </c>
      <c r="P19" s="8" t="s">
        <v>99</v>
      </c>
      <c r="Q19" s="6" t="s">
        <v>50</v>
      </c>
      <c r="R19" s="6" t="s">
        <v>48</v>
      </c>
      <c r="S19" s="6" t="s">
        <v>48</v>
      </c>
      <c r="T19" s="6" t="s">
        <v>52</v>
      </c>
      <c r="U19" s="5">
        <f t="shared" si="1"/>
        <v>19.20438</v>
      </c>
      <c r="V19" s="5"/>
      <c r="W19" s="5"/>
      <c r="X19" s="5"/>
      <c r="Y19" s="5"/>
      <c r="Z19" s="5"/>
      <c r="AA19" s="5"/>
    </row>
    <row r="20">
      <c r="A20" s="6" t="s">
        <v>24</v>
      </c>
      <c r="B20" s="6" t="s">
        <v>90</v>
      </c>
      <c r="C20" s="6" t="s">
        <v>72</v>
      </c>
      <c r="D20" s="6" t="s">
        <v>54</v>
      </c>
      <c r="E20" s="6" t="s">
        <v>91</v>
      </c>
      <c r="F20" s="6" t="s">
        <v>92</v>
      </c>
      <c r="G20" s="7">
        <v>109.03999999999999</v>
      </c>
      <c r="H20" s="6" t="s">
        <v>102</v>
      </c>
      <c r="I20" s="6" t="s">
        <v>48</v>
      </c>
      <c r="J20" s="8">
        <v>394.0</v>
      </c>
      <c r="K20" s="6" t="s">
        <v>74</v>
      </c>
      <c r="L20" s="6" t="s">
        <v>75</v>
      </c>
      <c r="M20" s="6" t="s">
        <v>76</v>
      </c>
      <c r="N20" s="6" t="s">
        <v>58</v>
      </c>
      <c r="O20" s="6" t="s">
        <v>94</v>
      </c>
      <c r="P20" s="8" t="s">
        <v>97</v>
      </c>
      <c r="Q20" s="6" t="s">
        <v>50</v>
      </c>
      <c r="R20" s="6" t="s">
        <v>48</v>
      </c>
      <c r="S20" s="6" t="s">
        <v>48</v>
      </c>
      <c r="T20" s="6" t="s">
        <v>77</v>
      </c>
      <c r="U20" s="5">
        <f t="shared" si="1"/>
        <v>19.20438</v>
      </c>
      <c r="V20" s="5"/>
      <c r="W20" s="5"/>
      <c r="X20" s="5"/>
      <c r="Y20" s="5"/>
      <c r="Z20" s="5"/>
      <c r="AA20" s="5"/>
    </row>
    <row r="21" ht="15.75" customHeight="1">
      <c r="A21" s="6" t="s">
        <v>24</v>
      </c>
      <c r="B21" s="6" t="s">
        <v>90</v>
      </c>
      <c r="C21" s="6" t="s">
        <v>72</v>
      </c>
      <c r="D21" s="6" t="s">
        <v>27</v>
      </c>
      <c r="E21" s="6" t="s">
        <v>91</v>
      </c>
      <c r="F21" s="6" t="s">
        <v>92</v>
      </c>
      <c r="G21" s="7">
        <v>121.8</v>
      </c>
      <c r="H21" s="6" t="s">
        <v>103</v>
      </c>
      <c r="I21" s="6" t="s">
        <v>48</v>
      </c>
      <c r="J21" s="8">
        <v>395.0</v>
      </c>
      <c r="K21" s="6" t="s">
        <v>74</v>
      </c>
      <c r="L21" s="6" t="s">
        <v>75</v>
      </c>
      <c r="M21" s="6" t="s">
        <v>76</v>
      </c>
      <c r="N21" s="6" t="s">
        <v>58</v>
      </c>
      <c r="O21" s="6" t="s">
        <v>94</v>
      </c>
      <c r="P21" s="8" t="s">
        <v>99</v>
      </c>
      <c r="Q21" s="6" t="s">
        <v>50</v>
      </c>
      <c r="R21" s="6" t="s">
        <v>48</v>
      </c>
      <c r="S21" s="6" t="s">
        <v>48</v>
      </c>
      <c r="T21" s="6" t="s">
        <v>77</v>
      </c>
      <c r="U21" s="5">
        <f t="shared" si="1"/>
        <v>19.24585</v>
      </c>
      <c r="V21" s="5"/>
      <c r="W21" s="5"/>
      <c r="X21" s="5"/>
      <c r="Y21" s="5"/>
      <c r="Z21" s="5"/>
      <c r="AA21" s="5"/>
    </row>
    <row r="22" ht="15.75" customHeight="1">
      <c r="A22" s="6" t="s">
        <v>24</v>
      </c>
      <c r="B22" s="6" t="s">
        <v>104</v>
      </c>
      <c r="C22" s="6" t="s">
        <v>26</v>
      </c>
      <c r="D22" s="6" t="s">
        <v>27</v>
      </c>
      <c r="E22" s="6" t="s">
        <v>105</v>
      </c>
      <c r="F22" s="6" t="s">
        <v>106</v>
      </c>
      <c r="G22" s="7">
        <v>139.2</v>
      </c>
      <c r="H22" s="6" t="s">
        <v>83</v>
      </c>
      <c r="I22" s="6" t="s">
        <v>37</v>
      </c>
      <c r="J22" s="8">
        <v>876.0</v>
      </c>
      <c r="K22" s="6" t="s">
        <v>40</v>
      </c>
      <c r="L22" s="6" t="s">
        <v>42</v>
      </c>
      <c r="M22" s="6" t="s">
        <v>44</v>
      </c>
      <c r="N22" s="6" t="s">
        <v>41</v>
      </c>
      <c r="O22" s="6" t="s">
        <v>107</v>
      </c>
      <c r="P22" s="8" t="s">
        <v>108</v>
      </c>
      <c r="Q22" s="6" t="s">
        <v>50</v>
      </c>
      <c r="R22" s="6" t="s">
        <v>48</v>
      </c>
      <c r="S22" s="6" t="s">
        <v>48</v>
      </c>
      <c r="T22" s="6" t="s">
        <v>52</v>
      </c>
      <c r="U22" s="5">
        <f t="shared" si="1"/>
        <v>19.3024</v>
      </c>
      <c r="V22" s="5"/>
      <c r="W22" s="5"/>
      <c r="X22" s="5"/>
      <c r="Y22" s="5"/>
      <c r="Z22" s="5"/>
      <c r="AA22" s="5"/>
    </row>
    <row r="23" ht="15.75" customHeight="1">
      <c r="A23" s="6" t="s">
        <v>24</v>
      </c>
      <c r="B23" s="6" t="s">
        <v>104</v>
      </c>
      <c r="C23" s="6" t="s">
        <v>53</v>
      </c>
      <c r="D23" s="6" t="s">
        <v>63</v>
      </c>
      <c r="E23" s="6" t="s">
        <v>105</v>
      </c>
      <c r="F23" s="6" t="s">
        <v>106</v>
      </c>
      <c r="G23" s="7">
        <v>153.11999999999998</v>
      </c>
      <c r="H23" s="6" t="s">
        <v>83</v>
      </c>
      <c r="I23" s="6" t="s">
        <v>48</v>
      </c>
      <c r="J23" s="8">
        <v>414.0</v>
      </c>
      <c r="K23" s="6" t="s">
        <v>53</v>
      </c>
      <c r="L23" s="6" t="s">
        <v>56</v>
      </c>
      <c r="M23" s="6" t="s">
        <v>57</v>
      </c>
      <c r="N23" s="6" t="s">
        <v>58</v>
      </c>
      <c r="O23" s="6" t="s">
        <v>107</v>
      </c>
      <c r="P23" s="8" t="s">
        <v>109</v>
      </c>
      <c r="Q23" s="6" t="s">
        <v>50</v>
      </c>
      <c r="R23" s="6" t="s">
        <v>48</v>
      </c>
      <c r="S23" s="6" t="s">
        <v>48</v>
      </c>
      <c r="T23" s="6" t="s">
        <v>52</v>
      </c>
      <c r="U23" s="5">
        <f t="shared" si="1"/>
        <v>19.34764</v>
      </c>
      <c r="V23" s="5"/>
      <c r="W23" s="5"/>
      <c r="X23" s="5"/>
      <c r="Y23" s="5"/>
      <c r="Z23" s="5"/>
      <c r="AA23" s="5"/>
    </row>
    <row r="24" ht="15.75" customHeight="1">
      <c r="A24" s="6" t="s">
        <v>24</v>
      </c>
      <c r="B24" s="6" t="s">
        <v>104</v>
      </c>
      <c r="C24" s="6" t="s">
        <v>53</v>
      </c>
      <c r="D24" s="6" t="s">
        <v>54</v>
      </c>
      <c r="E24" s="6" t="s">
        <v>105</v>
      </c>
      <c r="F24" s="6" t="s">
        <v>106</v>
      </c>
      <c r="G24" s="7">
        <v>191.39999999999998</v>
      </c>
      <c r="H24" s="6" t="s">
        <v>110</v>
      </c>
      <c r="I24" s="6" t="s">
        <v>48</v>
      </c>
      <c r="J24" s="8">
        <v>415.0</v>
      </c>
      <c r="K24" s="6" t="s">
        <v>53</v>
      </c>
      <c r="L24" s="6" t="s">
        <v>56</v>
      </c>
      <c r="M24" s="6" t="s">
        <v>57</v>
      </c>
      <c r="N24" s="6" t="s">
        <v>58</v>
      </c>
      <c r="O24" s="6" t="s">
        <v>107</v>
      </c>
      <c r="P24" s="8" t="s">
        <v>111</v>
      </c>
      <c r="Q24" s="6" t="s">
        <v>50</v>
      </c>
      <c r="R24" s="6" t="s">
        <v>48</v>
      </c>
      <c r="S24" s="6" t="s">
        <v>48</v>
      </c>
      <c r="T24" s="6" t="s">
        <v>52</v>
      </c>
      <c r="U24" s="5">
        <f t="shared" si="1"/>
        <v>19.47205</v>
      </c>
      <c r="V24" s="5"/>
      <c r="W24" s="5"/>
      <c r="X24" s="5"/>
      <c r="Y24" s="5"/>
      <c r="Z24" s="5"/>
      <c r="AA24" s="5"/>
    </row>
    <row r="25" ht="15.75" customHeight="1">
      <c r="A25" s="6" t="s">
        <v>24</v>
      </c>
      <c r="B25" s="6" t="s">
        <v>104</v>
      </c>
      <c r="C25" s="6" t="s">
        <v>53</v>
      </c>
      <c r="D25" s="6" t="s">
        <v>27</v>
      </c>
      <c r="E25" s="6" t="s">
        <v>105</v>
      </c>
      <c r="F25" s="6" t="s">
        <v>106</v>
      </c>
      <c r="G25" s="7">
        <v>231.99999999999997</v>
      </c>
      <c r="H25" s="6" t="s">
        <v>83</v>
      </c>
      <c r="I25" s="6" t="s">
        <v>48</v>
      </c>
      <c r="J25" s="8">
        <v>1967.0</v>
      </c>
      <c r="K25" s="6" t="s">
        <v>53</v>
      </c>
      <c r="L25" s="6" t="s">
        <v>56</v>
      </c>
      <c r="M25" s="6" t="s">
        <v>57</v>
      </c>
      <c r="N25" s="6" t="s">
        <v>58</v>
      </c>
      <c r="O25" s="6" t="s">
        <v>107</v>
      </c>
      <c r="P25" s="8" t="s">
        <v>112</v>
      </c>
      <c r="Q25" s="6" t="s">
        <v>50</v>
      </c>
      <c r="R25" s="6" t="s">
        <v>48</v>
      </c>
      <c r="S25" s="6" t="s">
        <v>48</v>
      </c>
      <c r="T25" s="6" t="s">
        <v>52</v>
      </c>
      <c r="U25" s="5">
        <f t="shared" si="1"/>
        <v>19.604</v>
      </c>
      <c r="V25" s="5"/>
      <c r="W25" s="5"/>
      <c r="X25" s="5"/>
      <c r="Y25" s="5"/>
      <c r="Z25" s="5"/>
      <c r="AA25" s="5"/>
    </row>
    <row r="26" ht="15.75" customHeight="1">
      <c r="A26" s="6" t="s">
        <v>24</v>
      </c>
      <c r="B26" s="6" t="s">
        <v>104</v>
      </c>
      <c r="C26" s="6" t="s">
        <v>62</v>
      </c>
      <c r="D26" s="6" t="s">
        <v>63</v>
      </c>
      <c r="E26" s="6" t="s">
        <v>105</v>
      </c>
      <c r="F26" s="6" t="s">
        <v>106</v>
      </c>
      <c r="G26" s="7">
        <v>70.75999999999999</v>
      </c>
      <c r="H26" s="6" t="s">
        <v>83</v>
      </c>
      <c r="I26" s="6" t="s">
        <v>48</v>
      </c>
      <c r="J26" s="8">
        <v>409.0</v>
      </c>
      <c r="K26" s="6" t="s">
        <v>62</v>
      </c>
      <c r="L26" s="6" t="s">
        <v>65</v>
      </c>
      <c r="M26" s="6" t="s">
        <v>66</v>
      </c>
      <c r="N26" s="6" t="s">
        <v>58</v>
      </c>
      <c r="O26" s="6" t="s">
        <v>107</v>
      </c>
      <c r="P26" s="8" t="s">
        <v>109</v>
      </c>
      <c r="Q26" s="6" t="s">
        <v>50</v>
      </c>
      <c r="R26" s="6" t="s">
        <v>48</v>
      </c>
      <c r="S26" s="6" t="s">
        <v>48</v>
      </c>
      <c r="T26" s="6" t="s">
        <v>52</v>
      </c>
      <c r="U26" s="5">
        <f t="shared" si="1"/>
        <v>19.07997</v>
      </c>
      <c r="V26" s="5"/>
      <c r="W26" s="5"/>
      <c r="X26" s="5"/>
      <c r="Y26" s="5"/>
      <c r="Z26" s="5"/>
      <c r="AA26" s="5"/>
    </row>
    <row r="27" ht="15.75" customHeight="1">
      <c r="A27" s="6" t="s">
        <v>24</v>
      </c>
      <c r="B27" s="6" t="s">
        <v>104</v>
      </c>
      <c r="C27" s="6" t="s">
        <v>62</v>
      </c>
      <c r="D27" s="6" t="s">
        <v>54</v>
      </c>
      <c r="E27" s="6" t="s">
        <v>105</v>
      </c>
      <c r="F27" s="6" t="s">
        <v>106</v>
      </c>
      <c r="G27" s="7">
        <v>96.27999999999999</v>
      </c>
      <c r="H27" s="6" t="s">
        <v>83</v>
      </c>
      <c r="I27" s="6" t="s">
        <v>48</v>
      </c>
      <c r="J27" s="8">
        <v>410.0</v>
      </c>
      <c r="K27" s="6" t="s">
        <v>62</v>
      </c>
      <c r="L27" s="6" t="s">
        <v>69</v>
      </c>
      <c r="M27" s="6" t="s">
        <v>70</v>
      </c>
      <c r="N27" s="6" t="s">
        <v>58</v>
      </c>
      <c r="O27" s="6" t="s">
        <v>107</v>
      </c>
      <c r="P27" s="8" t="s">
        <v>111</v>
      </c>
      <c r="Q27" s="6" t="s">
        <v>50</v>
      </c>
      <c r="R27" s="6" t="s">
        <v>48</v>
      </c>
      <c r="S27" s="6" t="s">
        <v>48</v>
      </c>
      <c r="T27" s="6" t="s">
        <v>52</v>
      </c>
      <c r="U27" s="5">
        <f t="shared" si="1"/>
        <v>19.16291</v>
      </c>
      <c r="V27" s="5"/>
      <c r="W27" s="5"/>
      <c r="X27" s="5"/>
      <c r="Y27" s="5"/>
      <c r="Z27" s="5"/>
      <c r="AA27" s="5"/>
    </row>
    <row r="28" ht="15.75" customHeight="1">
      <c r="A28" s="6" t="s">
        <v>24</v>
      </c>
      <c r="B28" s="6" t="s">
        <v>104</v>
      </c>
      <c r="C28" s="6" t="s">
        <v>62</v>
      </c>
      <c r="D28" s="6" t="s">
        <v>27</v>
      </c>
      <c r="E28" s="6" t="s">
        <v>105</v>
      </c>
      <c r="F28" s="6" t="s">
        <v>106</v>
      </c>
      <c r="G28" s="7">
        <v>110.19999999999999</v>
      </c>
      <c r="H28" s="6" t="s">
        <v>83</v>
      </c>
      <c r="I28" s="6" t="s">
        <v>48</v>
      </c>
      <c r="J28" s="8">
        <v>411.0</v>
      </c>
      <c r="K28" s="6" t="s">
        <v>62</v>
      </c>
      <c r="L28" s="6" t="s">
        <v>69</v>
      </c>
      <c r="M28" s="6" t="s">
        <v>70</v>
      </c>
      <c r="N28" s="6" t="s">
        <v>58</v>
      </c>
      <c r="O28" s="6" t="s">
        <v>107</v>
      </c>
      <c r="P28" s="8" t="s">
        <v>112</v>
      </c>
      <c r="Q28" s="6" t="s">
        <v>50</v>
      </c>
      <c r="R28" s="6" t="s">
        <v>48</v>
      </c>
      <c r="S28" s="6" t="s">
        <v>48</v>
      </c>
      <c r="T28" s="6" t="s">
        <v>52</v>
      </c>
      <c r="U28" s="5">
        <f t="shared" si="1"/>
        <v>19.20815</v>
      </c>
      <c r="V28" s="5"/>
      <c r="W28" s="5"/>
      <c r="X28" s="5"/>
      <c r="Y28" s="5"/>
      <c r="Z28" s="5"/>
      <c r="AA28" s="5"/>
    </row>
    <row r="29" ht="15.75" customHeight="1">
      <c r="A29" s="6" t="s">
        <v>24</v>
      </c>
      <c r="B29" s="6" t="s">
        <v>104</v>
      </c>
      <c r="C29" s="6" t="s">
        <v>72</v>
      </c>
      <c r="D29" s="6" t="s">
        <v>63</v>
      </c>
      <c r="E29" s="6" t="s">
        <v>105</v>
      </c>
      <c r="F29" s="6" t="s">
        <v>106</v>
      </c>
      <c r="G29" s="7">
        <v>83.52</v>
      </c>
      <c r="H29" s="6" t="s">
        <v>83</v>
      </c>
      <c r="I29" s="6" t="s">
        <v>48</v>
      </c>
      <c r="J29" s="8">
        <v>412.0</v>
      </c>
      <c r="K29" s="6" t="s">
        <v>74</v>
      </c>
      <c r="L29" s="6" t="s">
        <v>75</v>
      </c>
      <c r="M29" s="6" t="s">
        <v>76</v>
      </c>
      <c r="N29" s="6" t="s">
        <v>58</v>
      </c>
      <c r="O29" s="6" t="s">
        <v>107</v>
      </c>
      <c r="P29" s="8" t="s">
        <v>109</v>
      </c>
      <c r="Q29" s="6" t="s">
        <v>50</v>
      </c>
      <c r="R29" s="6" t="s">
        <v>48</v>
      </c>
      <c r="S29" s="6" t="s">
        <v>48</v>
      </c>
      <c r="T29" s="6" t="s">
        <v>77</v>
      </c>
      <c r="U29" s="5">
        <f t="shared" si="1"/>
        <v>19.12144</v>
      </c>
      <c r="V29" s="5"/>
      <c r="W29" s="5"/>
      <c r="X29" s="5"/>
      <c r="Y29" s="5"/>
      <c r="Z29" s="5"/>
      <c r="AA29" s="5"/>
    </row>
    <row r="30" ht="15.75" customHeight="1">
      <c r="A30" s="6" t="s">
        <v>24</v>
      </c>
      <c r="B30" s="6" t="s">
        <v>104</v>
      </c>
      <c r="C30" s="6" t="s">
        <v>72</v>
      </c>
      <c r="D30" s="6" t="s">
        <v>54</v>
      </c>
      <c r="E30" s="6" t="s">
        <v>105</v>
      </c>
      <c r="F30" s="6" t="s">
        <v>106</v>
      </c>
      <c r="G30" s="7">
        <v>109.03999999999999</v>
      </c>
      <c r="H30" s="6" t="s">
        <v>113</v>
      </c>
      <c r="I30" s="6" t="s">
        <v>48</v>
      </c>
      <c r="J30" s="8">
        <v>574.0</v>
      </c>
      <c r="K30" s="6" t="s">
        <v>74</v>
      </c>
      <c r="L30" s="6" t="s">
        <v>75</v>
      </c>
      <c r="M30" s="6" t="s">
        <v>76</v>
      </c>
      <c r="N30" s="6" t="s">
        <v>58</v>
      </c>
      <c r="O30" s="6" t="s">
        <v>107</v>
      </c>
      <c r="P30" s="8" t="s">
        <v>111</v>
      </c>
      <c r="Q30" s="6" t="s">
        <v>50</v>
      </c>
      <c r="R30" s="6" t="s">
        <v>48</v>
      </c>
      <c r="S30" s="6" t="s">
        <v>48</v>
      </c>
      <c r="T30" s="6" t="s">
        <v>77</v>
      </c>
      <c r="U30" s="5">
        <f t="shared" si="1"/>
        <v>19.20438</v>
      </c>
      <c r="V30" s="5"/>
      <c r="W30" s="5"/>
      <c r="X30" s="5"/>
      <c r="Y30" s="5"/>
      <c r="Z30" s="5"/>
      <c r="AA30" s="5"/>
    </row>
    <row r="31" ht="15.75" customHeight="1">
      <c r="A31" s="6" t="s">
        <v>24</v>
      </c>
      <c r="B31" s="6" t="s">
        <v>104</v>
      </c>
      <c r="C31" s="6" t="s">
        <v>72</v>
      </c>
      <c r="D31" s="6" t="s">
        <v>27</v>
      </c>
      <c r="E31" s="6" t="s">
        <v>105</v>
      </c>
      <c r="F31" s="6" t="s">
        <v>106</v>
      </c>
      <c r="G31" s="7">
        <v>121.8</v>
      </c>
      <c r="H31" s="6" t="s">
        <v>114</v>
      </c>
      <c r="I31" s="6" t="s">
        <v>48</v>
      </c>
      <c r="J31" s="8">
        <v>816.0</v>
      </c>
      <c r="K31" s="6" t="s">
        <v>74</v>
      </c>
      <c r="L31" s="6" t="s">
        <v>75</v>
      </c>
      <c r="M31" s="6" t="s">
        <v>76</v>
      </c>
      <c r="N31" s="6" t="s">
        <v>58</v>
      </c>
      <c r="O31" s="6" t="s">
        <v>107</v>
      </c>
      <c r="P31" s="8" t="s">
        <v>112</v>
      </c>
      <c r="Q31" s="6" t="s">
        <v>50</v>
      </c>
      <c r="R31" s="6" t="s">
        <v>48</v>
      </c>
      <c r="S31" s="6" t="s">
        <v>48</v>
      </c>
      <c r="T31" s="6" t="s">
        <v>77</v>
      </c>
      <c r="U31" s="5">
        <f t="shared" si="1"/>
        <v>19.24585</v>
      </c>
      <c r="V31" s="5"/>
      <c r="W31" s="5"/>
      <c r="X31" s="5"/>
      <c r="Y31" s="5"/>
      <c r="Z31" s="5"/>
      <c r="AA31" s="5"/>
    </row>
    <row r="32" ht="15.75" customHeight="1">
      <c r="A32" s="6" t="s">
        <v>24</v>
      </c>
      <c r="B32" s="6" t="s">
        <v>115</v>
      </c>
      <c r="C32" s="6" t="s">
        <v>26</v>
      </c>
      <c r="D32" s="6" t="s">
        <v>63</v>
      </c>
      <c r="E32" s="6" t="s">
        <v>116</v>
      </c>
      <c r="F32" s="6" t="s">
        <v>117</v>
      </c>
      <c r="G32" s="7">
        <v>109.03999999999999</v>
      </c>
      <c r="H32" s="6" t="s">
        <v>118</v>
      </c>
      <c r="I32" s="6" t="s">
        <v>37</v>
      </c>
      <c r="J32" s="8">
        <v>444.0</v>
      </c>
      <c r="K32" s="6" t="s">
        <v>40</v>
      </c>
      <c r="L32" s="6" t="s">
        <v>42</v>
      </c>
      <c r="M32" s="6" t="s">
        <v>44</v>
      </c>
      <c r="N32" s="6" t="s">
        <v>41</v>
      </c>
      <c r="O32" s="6" t="s">
        <v>119</v>
      </c>
      <c r="P32" s="8" t="s">
        <v>120</v>
      </c>
      <c r="Q32" s="6" t="s">
        <v>50</v>
      </c>
      <c r="R32" s="6" t="s">
        <v>48</v>
      </c>
      <c r="S32" s="6" t="s">
        <v>48</v>
      </c>
      <c r="T32" s="6" t="s">
        <v>52</v>
      </c>
      <c r="U32" s="5">
        <f t="shared" si="1"/>
        <v>19.20438</v>
      </c>
      <c r="V32" s="5"/>
      <c r="W32" s="5"/>
      <c r="X32" s="5"/>
      <c r="Y32" s="5"/>
      <c r="Z32" s="5"/>
      <c r="AA32" s="5"/>
    </row>
    <row r="33" ht="15.75" customHeight="1">
      <c r="A33" s="6" t="s">
        <v>24</v>
      </c>
      <c r="B33" s="6" t="s">
        <v>115</v>
      </c>
      <c r="C33" s="6" t="s">
        <v>26</v>
      </c>
      <c r="D33" s="6" t="s">
        <v>27</v>
      </c>
      <c r="E33" s="6" t="s">
        <v>116</v>
      </c>
      <c r="F33" s="6" t="s">
        <v>117</v>
      </c>
      <c r="G33" s="7">
        <v>127.6</v>
      </c>
      <c r="H33" s="6" t="s">
        <v>121</v>
      </c>
      <c r="I33" s="6" t="s">
        <v>37</v>
      </c>
      <c r="J33" s="8">
        <v>446.0</v>
      </c>
      <c r="K33" s="6" t="s">
        <v>40</v>
      </c>
      <c r="L33" s="6" t="s">
        <v>42</v>
      </c>
      <c r="M33" s="6" t="s">
        <v>44</v>
      </c>
      <c r="N33" s="6" t="s">
        <v>41</v>
      </c>
      <c r="O33" s="6" t="s">
        <v>119</v>
      </c>
      <c r="P33" s="8" t="s">
        <v>122</v>
      </c>
      <c r="Q33" s="6" t="s">
        <v>50</v>
      </c>
      <c r="R33" s="6" t="s">
        <v>48</v>
      </c>
      <c r="S33" s="6" t="s">
        <v>48</v>
      </c>
      <c r="T33" s="6" t="s">
        <v>52</v>
      </c>
      <c r="U33" s="5">
        <f t="shared" si="1"/>
        <v>19.2647</v>
      </c>
      <c r="V33" s="5"/>
      <c r="W33" s="5"/>
      <c r="X33" s="5"/>
      <c r="Y33" s="5"/>
      <c r="Z33" s="5"/>
      <c r="AA33" s="5"/>
    </row>
    <row r="34" ht="15.75" customHeight="1">
      <c r="A34" s="6" t="s">
        <v>24</v>
      </c>
      <c r="B34" s="6" t="s">
        <v>115</v>
      </c>
      <c r="C34" s="6" t="s">
        <v>53</v>
      </c>
      <c r="D34" s="6" t="s">
        <v>63</v>
      </c>
      <c r="E34" s="6" t="s">
        <v>116</v>
      </c>
      <c r="F34" s="6" t="s">
        <v>117</v>
      </c>
      <c r="G34" s="7">
        <v>153.11999999999998</v>
      </c>
      <c r="H34" s="6" t="s">
        <v>123</v>
      </c>
      <c r="I34" s="6" t="s">
        <v>48</v>
      </c>
      <c r="J34" s="8">
        <v>448.0</v>
      </c>
      <c r="K34" s="6" t="s">
        <v>53</v>
      </c>
      <c r="L34" s="6" t="s">
        <v>56</v>
      </c>
      <c r="M34" s="6" t="s">
        <v>57</v>
      </c>
      <c r="N34" s="6" t="s">
        <v>58</v>
      </c>
      <c r="O34" s="6" t="s">
        <v>119</v>
      </c>
      <c r="P34" s="8" t="s">
        <v>124</v>
      </c>
      <c r="Q34" s="6" t="s">
        <v>50</v>
      </c>
      <c r="R34" s="6" t="s">
        <v>48</v>
      </c>
      <c r="S34" s="6" t="s">
        <v>48</v>
      </c>
      <c r="T34" s="6" t="s">
        <v>52</v>
      </c>
      <c r="U34" s="5">
        <f t="shared" si="1"/>
        <v>19.34764</v>
      </c>
      <c r="V34" s="5"/>
      <c r="W34" s="5"/>
      <c r="X34" s="5"/>
      <c r="Y34" s="5"/>
      <c r="Z34" s="5"/>
      <c r="AA34" s="5"/>
    </row>
    <row r="35" ht="15.75" customHeight="1">
      <c r="A35" s="6" t="s">
        <v>24</v>
      </c>
      <c r="B35" s="6" t="s">
        <v>115</v>
      </c>
      <c r="C35" s="6" t="s">
        <v>53</v>
      </c>
      <c r="D35" s="6" t="s">
        <v>54</v>
      </c>
      <c r="E35" s="6" t="s">
        <v>116</v>
      </c>
      <c r="F35" s="6" t="s">
        <v>117</v>
      </c>
      <c r="G35" s="7">
        <v>191.39999999999998</v>
      </c>
      <c r="H35" s="6" t="s">
        <v>125</v>
      </c>
      <c r="I35" s="6" t="s">
        <v>48</v>
      </c>
      <c r="J35" s="8">
        <v>449.0</v>
      </c>
      <c r="K35" s="6" t="s">
        <v>53</v>
      </c>
      <c r="L35" s="6" t="s">
        <v>56</v>
      </c>
      <c r="M35" s="6" t="s">
        <v>57</v>
      </c>
      <c r="N35" s="6" t="s">
        <v>58</v>
      </c>
      <c r="O35" s="6" t="s">
        <v>119</v>
      </c>
      <c r="P35" s="8" t="s">
        <v>126</v>
      </c>
      <c r="Q35" s="6" t="s">
        <v>50</v>
      </c>
      <c r="R35" s="6" t="s">
        <v>48</v>
      </c>
      <c r="S35" s="6" t="s">
        <v>48</v>
      </c>
      <c r="T35" s="6" t="s">
        <v>52</v>
      </c>
      <c r="U35" s="5">
        <f t="shared" si="1"/>
        <v>19.47205</v>
      </c>
      <c r="V35" s="5"/>
      <c r="W35" s="5"/>
      <c r="X35" s="5"/>
      <c r="Y35" s="5"/>
      <c r="Z35" s="5"/>
      <c r="AA35" s="5"/>
    </row>
    <row r="36" ht="15.75" customHeight="1">
      <c r="A36" s="6" t="s">
        <v>24</v>
      </c>
      <c r="B36" s="6" t="s">
        <v>115</v>
      </c>
      <c r="C36" s="6" t="s">
        <v>53</v>
      </c>
      <c r="D36" s="6" t="s">
        <v>27</v>
      </c>
      <c r="E36" s="6" t="s">
        <v>116</v>
      </c>
      <c r="F36" s="6" t="s">
        <v>117</v>
      </c>
      <c r="G36" s="7">
        <v>229.67999999999998</v>
      </c>
      <c r="H36" s="6" t="s">
        <v>127</v>
      </c>
      <c r="I36" s="6" t="s">
        <v>48</v>
      </c>
      <c r="J36" s="8">
        <v>450.0</v>
      </c>
      <c r="K36" s="6" t="s">
        <v>53</v>
      </c>
      <c r="L36" s="6" t="s">
        <v>56</v>
      </c>
      <c r="M36" s="6" t="s">
        <v>57</v>
      </c>
      <c r="N36" s="6" t="s">
        <v>58</v>
      </c>
      <c r="O36" s="6" t="s">
        <v>119</v>
      </c>
      <c r="P36" s="8" t="s">
        <v>128</v>
      </c>
      <c r="Q36" s="6" t="s">
        <v>50</v>
      </c>
      <c r="R36" s="6" t="s">
        <v>48</v>
      </c>
      <c r="S36" s="6" t="s">
        <v>48</v>
      </c>
      <c r="T36" s="6" t="s">
        <v>52</v>
      </c>
      <c r="U36" s="5">
        <f t="shared" si="1"/>
        <v>19.59646</v>
      </c>
      <c r="V36" s="5"/>
      <c r="W36" s="5"/>
      <c r="X36" s="5"/>
      <c r="Y36" s="5"/>
      <c r="Z36" s="5"/>
      <c r="AA36" s="5"/>
    </row>
    <row r="37" ht="15.75" customHeight="1">
      <c r="A37" s="6" t="s">
        <v>24</v>
      </c>
      <c r="B37" s="6" t="s">
        <v>115</v>
      </c>
      <c r="C37" s="6" t="s">
        <v>53</v>
      </c>
      <c r="D37" s="6" t="s">
        <v>129</v>
      </c>
      <c r="E37" s="6" t="s">
        <v>116</v>
      </c>
      <c r="F37" s="6" t="s">
        <v>117</v>
      </c>
      <c r="G37" s="7">
        <v>561.4399999999999</v>
      </c>
      <c r="H37" s="6" t="s">
        <v>130</v>
      </c>
      <c r="I37" s="6" t="s">
        <v>48</v>
      </c>
      <c r="J37" s="8">
        <v>1230.0</v>
      </c>
      <c r="K37" s="6" t="s">
        <v>53</v>
      </c>
      <c r="L37" s="6" t="s">
        <v>56</v>
      </c>
      <c r="M37" s="6" t="s">
        <v>57</v>
      </c>
      <c r="N37" s="6" t="s">
        <v>58</v>
      </c>
      <c r="O37" s="6" t="s">
        <v>119</v>
      </c>
      <c r="P37" s="8" t="s">
        <v>131</v>
      </c>
      <c r="Q37" s="6" t="s">
        <v>50</v>
      </c>
      <c r="R37" s="6" t="s">
        <v>48</v>
      </c>
      <c r="S37" s="6" t="s">
        <v>48</v>
      </c>
      <c r="T37" s="6" t="s">
        <v>52</v>
      </c>
      <c r="U37" s="5">
        <f t="shared" si="1"/>
        <v>20.67468</v>
      </c>
      <c r="V37" s="5"/>
      <c r="W37" s="5"/>
      <c r="X37" s="5"/>
      <c r="Y37" s="5"/>
      <c r="Z37" s="5"/>
      <c r="AA37" s="5"/>
    </row>
    <row r="38" ht="15.75" customHeight="1">
      <c r="A38" s="6" t="s">
        <v>24</v>
      </c>
      <c r="B38" s="6" t="s">
        <v>115</v>
      </c>
      <c r="C38" s="6" t="s">
        <v>62</v>
      </c>
      <c r="D38" s="6" t="s">
        <v>63</v>
      </c>
      <c r="E38" s="6" t="s">
        <v>116</v>
      </c>
      <c r="F38" s="6" t="s">
        <v>117</v>
      </c>
      <c r="G38" s="7">
        <v>70.75999999999999</v>
      </c>
      <c r="H38" s="6" t="s">
        <v>132</v>
      </c>
      <c r="I38" s="6" t="s">
        <v>48</v>
      </c>
      <c r="J38" s="8">
        <v>436.0</v>
      </c>
      <c r="K38" s="6" t="s">
        <v>62</v>
      </c>
      <c r="L38" s="6" t="s">
        <v>65</v>
      </c>
      <c r="M38" s="6" t="s">
        <v>66</v>
      </c>
      <c r="N38" s="6" t="s">
        <v>58</v>
      </c>
      <c r="O38" s="6" t="s">
        <v>119</v>
      </c>
      <c r="P38" s="8" t="s">
        <v>124</v>
      </c>
      <c r="Q38" s="6" t="s">
        <v>50</v>
      </c>
      <c r="R38" s="6" t="s">
        <v>48</v>
      </c>
      <c r="S38" s="6" t="s">
        <v>48</v>
      </c>
      <c r="T38" s="6" t="s">
        <v>52</v>
      </c>
      <c r="U38" s="5">
        <f t="shared" si="1"/>
        <v>19.07997</v>
      </c>
      <c r="V38" s="5"/>
      <c r="W38" s="5"/>
      <c r="X38" s="5"/>
      <c r="Y38" s="5"/>
      <c r="Z38" s="5"/>
      <c r="AA38" s="5"/>
    </row>
    <row r="39" ht="15.75" customHeight="1">
      <c r="A39" s="6" t="s">
        <v>24</v>
      </c>
      <c r="B39" s="6" t="s">
        <v>115</v>
      </c>
      <c r="C39" s="6" t="s">
        <v>62</v>
      </c>
      <c r="D39" s="6" t="s">
        <v>54</v>
      </c>
      <c r="E39" s="6" t="s">
        <v>116</v>
      </c>
      <c r="F39" s="6" t="s">
        <v>117</v>
      </c>
      <c r="G39" s="7">
        <v>96.27999999999999</v>
      </c>
      <c r="H39" s="6" t="s">
        <v>133</v>
      </c>
      <c r="I39" s="6" t="s">
        <v>48</v>
      </c>
      <c r="J39" s="8">
        <v>437.0</v>
      </c>
      <c r="K39" s="6" t="s">
        <v>62</v>
      </c>
      <c r="L39" s="6" t="s">
        <v>69</v>
      </c>
      <c r="M39" s="6" t="s">
        <v>70</v>
      </c>
      <c r="N39" s="6" t="s">
        <v>58</v>
      </c>
      <c r="O39" s="6" t="s">
        <v>119</v>
      </c>
      <c r="P39" s="8" t="s">
        <v>126</v>
      </c>
      <c r="Q39" s="6" t="s">
        <v>50</v>
      </c>
      <c r="R39" s="6" t="s">
        <v>48</v>
      </c>
      <c r="S39" s="6" t="s">
        <v>48</v>
      </c>
      <c r="T39" s="6" t="s">
        <v>52</v>
      </c>
      <c r="U39" s="5">
        <f t="shared" si="1"/>
        <v>19.16291</v>
      </c>
      <c r="V39" s="5"/>
      <c r="W39" s="5"/>
      <c r="X39" s="5"/>
      <c r="Y39" s="5"/>
      <c r="Z39" s="5"/>
      <c r="AA39" s="5"/>
    </row>
    <row r="40" ht="15.75" customHeight="1">
      <c r="A40" s="6" t="s">
        <v>24</v>
      </c>
      <c r="B40" s="6" t="s">
        <v>115</v>
      </c>
      <c r="C40" s="6" t="s">
        <v>62</v>
      </c>
      <c r="D40" s="6" t="s">
        <v>27</v>
      </c>
      <c r="E40" s="6" t="s">
        <v>116</v>
      </c>
      <c r="F40" s="6" t="s">
        <v>117</v>
      </c>
      <c r="G40" s="7">
        <v>110.19999999999999</v>
      </c>
      <c r="H40" s="6" t="s">
        <v>134</v>
      </c>
      <c r="I40" s="6" t="s">
        <v>48</v>
      </c>
      <c r="J40" s="8">
        <v>438.0</v>
      </c>
      <c r="K40" s="6" t="s">
        <v>62</v>
      </c>
      <c r="L40" s="6" t="s">
        <v>69</v>
      </c>
      <c r="M40" s="6" t="s">
        <v>70</v>
      </c>
      <c r="N40" s="6" t="s">
        <v>58</v>
      </c>
      <c r="O40" s="6" t="s">
        <v>119</v>
      </c>
      <c r="P40" s="8" t="s">
        <v>128</v>
      </c>
      <c r="Q40" s="6" t="s">
        <v>50</v>
      </c>
      <c r="R40" s="6" t="s">
        <v>48</v>
      </c>
      <c r="S40" s="6" t="s">
        <v>48</v>
      </c>
      <c r="T40" s="6" t="s">
        <v>52</v>
      </c>
      <c r="U40" s="5">
        <f t="shared" si="1"/>
        <v>19.20815</v>
      </c>
      <c r="V40" s="5"/>
      <c r="W40" s="5"/>
      <c r="X40" s="5"/>
      <c r="Y40" s="5"/>
      <c r="Z40" s="5"/>
      <c r="AA40" s="5"/>
    </row>
    <row r="41" ht="15.75" customHeight="1">
      <c r="A41" s="6" t="s">
        <v>24</v>
      </c>
      <c r="B41" s="6" t="s">
        <v>115</v>
      </c>
      <c r="C41" s="6" t="s">
        <v>62</v>
      </c>
      <c r="D41" s="6" t="s">
        <v>129</v>
      </c>
      <c r="E41" s="6" t="s">
        <v>116</v>
      </c>
      <c r="F41" s="6" t="s">
        <v>117</v>
      </c>
      <c r="G41" s="7">
        <v>140.35999999999999</v>
      </c>
      <c r="H41" s="6" t="s">
        <v>135</v>
      </c>
      <c r="I41" s="6" t="s">
        <v>48</v>
      </c>
      <c r="J41" s="8">
        <v>439.0</v>
      </c>
      <c r="K41" s="6" t="s">
        <v>62</v>
      </c>
      <c r="L41" s="6" t="s">
        <v>69</v>
      </c>
      <c r="M41" s="6" t="s">
        <v>70</v>
      </c>
      <c r="N41" s="6" t="s">
        <v>58</v>
      </c>
      <c r="O41" s="6" t="s">
        <v>119</v>
      </c>
      <c r="P41" s="8" t="s">
        <v>136</v>
      </c>
      <c r="Q41" s="6" t="s">
        <v>50</v>
      </c>
      <c r="R41" s="6" t="s">
        <v>48</v>
      </c>
      <c r="S41" s="6" t="s">
        <v>48</v>
      </c>
      <c r="T41" s="6" t="s">
        <v>52</v>
      </c>
      <c r="U41" s="5">
        <f t="shared" si="1"/>
        <v>19.30617</v>
      </c>
      <c r="V41" s="5"/>
      <c r="W41" s="5"/>
      <c r="X41" s="5"/>
      <c r="Y41" s="5"/>
      <c r="Z41" s="5"/>
      <c r="AA41" s="5"/>
    </row>
    <row r="42" ht="15.75" customHeight="1">
      <c r="A42" s="6" t="s">
        <v>24</v>
      </c>
      <c r="B42" s="6" t="s">
        <v>115</v>
      </c>
      <c r="C42" s="6" t="s">
        <v>72</v>
      </c>
      <c r="D42" s="6" t="s">
        <v>63</v>
      </c>
      <c r="E42" s="6" t="s">
        <v>116</v>
      </c>
      <c r="F42" s="6" t="s">
        <v>117</v>
      </c>
      <c r="G42" s="7">
        <v>83.52</v>
      </c>
      <c r="H42" s="6" t="s">
        <v>137</v>
      </c>
      <c r="I42" s="6" t="s">
        <v>48</v>
      </c>
      <c r="J42" s="8">
        <v>441.0</v>
      </c>
      <c r="K42" s="6" t="s">
        <v>74</v>
      </c>
      <c r="L42" s="6" t="s">
        <v>75</v>
      </c>
      <c r="M42" s="6" t="s">
        <v>76</v>
      </c>
      <c r="N42" s="6" t="s">
        <v>58</v>
      </c>
      <c r="O42" s="6" t="s">
        <v>119</v>
      </c>
      <c r="P42" s="8" t="s">
        <v>124</v>
      </c>
      <c r="Q42" s="6" t="s">
        <v>50</v>
      </c>
      <c r="R42" s="6" t="s">
        <v>48</v>
      </c>
      <c r="S42" s="6" t="s">
        <v>48</v>
      </c>
      <c r="T42" s="6" t="s">
        <v>77</v>
      </c>
      <c r="U42" s="5">
        <f t="shared" si="1"/>
        <v>19.12144</v>
      </c>
      <c r="V42" s="5"/>
      <c r="W42" s="5"/>
      <c r="X42" s="5"/>
      <c r="Y42" s="5"/>
      <c r="Z42" s="5"/>
      <c r="AA42" s="5"/>
    </row>
    <row r="43" ht="15.75" customHeight="1">
      <c r="A43" s="6" t="s">
        <v>24</v>
      </c>
      <c r="B43" s="6" t="s">
        <v>115</v>
      </c>
      <c r="C43" s="6" t="s">
        <v>72</v>
      </c>
      <c r="D43" s="6" t="s">
        <v>54</v>
      </c>
      <c r="E43" s="6" t="s">
        <v>116</v>
      </c>
      <c r="F43" s="6" t="s">
        <v>117</v>
      </c>
      <c r="G43" s="7">
        <v>109.03999999999999</v>
      </c>
      <c r="H43" s="6" t="s">
        <v>138</v>
      </c>
      <c r="I43" s="6" t="s">
        <v>48</v>
      </c>
      <c r="J43" s="8">
        <v>442.0</v>
      </c>
      <c r="K43" s="6" t="s">
        <v>74</v>
      </c>
      <c r="L43" s="6" t="s">
        <v>75</v>
      </c>
      <c r="M43" s="6" t="s">
        <v>76</v>
      </c>
      <c r="N43" s="6" t="s">
        <v>58</v>
      </c>
      <c r="O43" s="6" t="s">
        <v>119</v>
      </c>
      <c r="P43" s="8" t="s">
        <v>126</v>
      </c>
      <c r="Q43" s="6" t="s">
        <v>50</v>
      </c>
      <c r="R43" s="6" t="s">
        <v>48</v>
      </c>
      <c r="S43" s="6" t="s">
        <v>48</v>
      </c>
      <c r="T43" s="6" t="s">
        <v>77</v>
      </c>
      <c r="U43" s="5">
        <f t="shared" si="1"/>
        <v>19.20438</v>
      </c>
      <c r="V43" s="5"/>
      <c r="W43" s="5"/>
      <c r="X43" s="5"/>
      <c r="Y43" s="5"/>
      <c r="Z43" s="5"/>
      <c r="AA43" s="5"/>
    </row>
    <row r="44" ht="15.75" customHeight="1">
      <c r="A44" s="6" t="s">
        <v>24</v>
      </c>
      <c r="B44" s="6" t="s">
        <v>115</v>
      </c>
      <c r="C44" s="6" t="s">
        <v>72</v>
      </c>
      <c r="D44" s="6" t="s">
        <v>27</v>
      </c>
      <c r="E44" s="6" t="s">
        <v>116</v>
      </c>
      <c r="F44" s="6" t="s">
        <v>117</v>
      </c>
      <c r="G44" s="7">
        <v>121.8</v>
      </c>
      <c r="H44" s="6" t="s">
        <v>139</v>
      </c>
      <c r="I44" s="6" t="s">
        <v>48</v>
      </c>
      <c r="J44" s="8">
        <v>443.0</v>
      </c>
      <c r="K44" s="6" t="s">
        <v>74</v>
      </c>
      <c r="L44" s="6" t="s">
        <v>75</v>
      </c>
      <c r="M44" s="6" t="s">
        <v>76</v>
      </c>
      <c r="N44" s="6" t="s">
        <v>58</v>
      </c>
      <c r="O44" s="6" t="s">
        <v>119</v>
      </c>
      <c r="P44" s="8" t="s">
        <v>128</v>
      </c>
      <c r="Q44" s="6" t="s">
        <v>50</v>
      </c>
      <c r="R44" s="6" t="s">
        <v>48</v>
      </c>
      <c r="S44" s="6" t="s">
        <v>48</v>
      </c>
      <c r="T44" s="6" t="s">
        <v>77</v>
      </c>
      <c r="U44" s="5">
        <f t="shared" si="1"/>
        <v>19.24585</v>
      </c>
      <c r="V44" s="5"/>
      <c r="W44" s="5"/>
      <c r="X44" s="5"/>
      <c r="Y44" s="5"/>
      <c r="Z44" s="5"/>
      <c r="AA44" s="5"/>
    </row>
    <row r="45" ht="15.75" customHeight="1">
      <c r="A45" s="6" t="s">
        <v>24</v>
      </c>
      <c r="B45" s="6" t="s">
        <v>115</v>
      </c>
      <c r="C45" s="6" t="s">
        <v>72</v>
      </c>
      <c r="D45" s="6" t="s">
        <v>129</v>
      </c>
      <c r="E45" s="6" t="s">
        <v>116</v>
      </c>
      <c r="F45" s="6" t="s">
        <v>117</v>
      </c>
      <c r="G45" s="7">
        <v>229.67999999999998</v>
      </c>
      <c r="H45" s="6" t="s">
        <v>140</v>
      </c>
      <c r="I45" s="6" t="s">
        <v>48</v>
      </c>
      <c r="J45" s="8">
        <v>3088.0</v>
      </c>
      <c r="K45" s="6" t="s">
        <v>74</v>
      </c>
      <c r="L45" s="6" t="s">
        <v>75</v>
      </c>
      <c r="M45" s="6" t="s">
        <v>76</v>
      </c>
      <c r="N45" s="6" t="s">
        <v>58</v>
      </c>
      <c r="O45" s="6" t="s">
        <v>119</v>
      </c>
      <c r="P45" s="8" t="s">
        <v>131</v>
      </c>
      <c r="Q45" s="6" t="s">
        <v>50</v>
      </c>
      <c r="R45" s="6" t="s">
        <v>48</v>
      </c>
      <c r="S45" s="6" t="s">
        <v>48</v>
      </c>
      <c r="T45" s="6" t="s">
        <v>77</v>
      </c>
      <c r="U45" s="5">
        <f t="shared" si="1"/>
        <v>19.59646</v>
      </c>
      <c r="V45" s="5"/>
      <c r="W45" s="5"/>
      <c r="X45" s="5"/>
      <c r="Y45" s="5"/>
      <c r="Z45" s="5"/>
      <c r="AA45" s="5"/>
    </row>
    <row r="46" ht="15.75" customHeight="1">
      <c r="A46" s="6" t="s">
        <v>24</v>
      </c>
      <c r="B46" s="6" t="s">
        <v>141</v>
      </c>
      <c r="C46" s="6" t="s">
        <v>26</v>
      </c>
      <c r="D46" s="6" t="s">
        <v>27</v>
      </c>
      <c r="E46" s="6" t="s">
        <v>142</v>
      </c>
      <c r="F46" s="6" t="s">
        <v>143</v>
      </c>
      <c r="G46" s="7">
        <v>147.32</v>
      </c>
      <c r="H46" s="6" t="s">
        <v>144</v>
      </c>
      <c r="I46" s="6" t="s">
        <v>31</v>
      </c>
      <c r="J46" s="8">
        <v>820.0</v>
      </c>
      <c r="K46" s="6" t="s">
        <v>36</v>
      </c>
      <c r="L46" s="6" t="s">
        <v>38</v>
      </c>
      <c r="M46" s="6" t="s">
        <v>39</v>
      </c>
      <c r="N46" s="6" t="s">
        <v>41</v>
      </c>
      <c r="O46" s="6" t="s">
        <v>145</v>
      </c>
      <c r="P46" s="8" t="s">
        <v>97</v>
      </c>
      <c r="Q46" s="6" t="s">
        <v>50</v>
      </c>
      <c r="R46" s="6" t="s">
        <v>48</v>
      </c>
      <c r="S46" s="6" t="s">
        <v>48</v>
      </c>
      <c r="T46" s="6" t="s">
        <v>51</v>
      </c>
      <c r="U46" s="5">
        <f t="shared" si="1"/>
        <v>19.32879</v>
      </c>
      <c r="V46" s="5"/>
      <c r="W46" s="5"/>
      <c r="X46" s="5"/>
      <c r="Y46" s="5"/>
      <c r="Z46" s="5"/>
      <c r="AA46" s="5"/>
    </row>
    <row r="47" ht="15.75" customHeight="1">
      <c r="A47" s="6" t="s">
        <v>24</v>
      </c>
      <c r="B47" s="6" t="s">
        <v>141</v>
      </c>
      <c r="C47" s="6" t="s">
        <v>26</v>
      </c>
      <c r="D47" s="6" t="s">
        <v>129</v>
      </c>
      <c r="E47" s="6" t="s">
        <v>142</v>
      </c>
      <c r="F47" s="6" t="s">
        <v>143</v>
      </c>
      <c r="G47" s="7">
        <v>178.64</v>
      </c>
      <c r="H47" s="6" t="s">
        <v>146</v>
      </c>
      <c r="I47" s="6" t="s">
        <v>31</v>
      </c>
      <c r="J47" s="8">
        <v>1199.0</v>
      </c>
      <c r="K47" s="6" t="s">
        <v>36</v>
      </c>
      <c r="L47" s="6" t="s">
        <v>38</v>
      </c>
      <c r="M47" s="6" t="s">
        <v>39</v>
      </c>
      <c r="N47" s="6" t="s">
        <v>41</v>
      </c>
      <c r="O47" s="6" t="s">
        <v>145</v>
      </c>
      <c r="P47" s="8" t="s">
        <v>147</v>
      </c>
      <c r="Q47" s="6" t="s">
        <v>50</v>
      </c>
      <c r="R47" s="6" t="s">
        <v>48</v>
      </c>
      <c r="S47" s="6" t="s">
        <v>48</v>
      </c>
      <c r="T47" s="6" t="s">
        <v>51</v>
      </c>
      <c r="U47" s="5">
        <f t="shared" si="1"/>
        <v>19.43058</v>
      </c>
      <c r="V47" s="5"/>
      <c r="W47" s="5"/>
      <c r="X47" s="5"/>
      <c r="Y47" s="5"/>
      <c r="Z47" s="5"/>
      <c r="AA47" s="5"/>
    </row>
    <row r="48" ht="15.75" customHeight="1">
      <c r="A48" s="6" t="s">
        <v>24</v>
      </c>
      <c r="B48" s="6" t="s">
        <v>141</v>
      </c>
      <c r="C48" s="6" t="s">
        <v>53</v>
      </c>
      <c r="D48" s="6" t="s">
        <v>54</v>
      </c>
      <c r="E48" s="6" t="s">
        <v>142</v>
      </c>
      <c r="F48" s="6" t="s">
        <v>143</v>
      </c>
      <c r="G48" s="7">
        <v>242.43999999999997</v>
      </c>
      <c r="H48" s="6" t="s">
        <v>148</v>
      </c>
      <c r="I48" s="6" t="s">
        <v>84</v>
      </c>
      <c r="J48" s="8">
        <v>536.0</v>
      </c>
      <c r="K48" s="6" t="s">
        <v>85</v>
      </c>
      <c r="L48" s="6" t="s">
        <v>86</v>
      </c>
      <c r="M48" s="6" t="s">
        <v>57</v>
      </c>
      <c r="N48" s="6" t="s">
        <v>58</v>
      </c>
      <c r="O48" s="6" t="s">
        <v>145</v>
      </c>
      <c r="P48" s="8" t="s">
        <v>149</v>
      </c>
      <c r="Q48" s="6" t="s">
        <v>50</v>
      </c>
      <c r="R48" s="6" t="s">
        <v>48</v>
      </c>
      <c r="S48" s="6" t="s">
        <v>48</v>
      </c>
      <c r="T48" s="6" t="s">
        <v>88</v>
      </c>
      <c r="U48" s="5">
        <f t="shared" si="1"/>
        <v>19.63793</v>
      </c>
      <c r="V48" s="5"/>
      <c r="W48" s="5"/>
      <c r="X48" s="5"/>
      <c r="Y48" s="5"/>
      <c r="Z48" s="5"/>
      <c r="AA48" s="5"/>
    </row>
    <row r="49" ht="15.75" customHeight="1">
      <c r="A49" s="6" t="s">
        <v>24</v>
      </c>
      <c r="B49" s="6" t="s">
        <v>141</v>
      </c>
      <c r="C49" s="6" t="s">
        <v>53</v>
      </c>
      <c r="D49" s="6" t="s">
        <v>27</v>
      </c>
      <c r="E49" s="6" t="s">
        <v>142</v>
      </c>
      <c r="F49" s="6" t="s">
        <v>143</v>
      </c>
      <c r="G49" s="7">
        <v>335.23999999999995</v>
      </c>
      <c r="H49" s="6" t="s">
        <v>83</v>
      </c>
      <c r="I49" s="6" t="s">
        <v>84</v>
      </c>
      <c r="J49" s="8">
        <v>1906.0</v>
      </c>
      <c r="K49" s="6" t="s">
        <v>85</v>
      </c>
      <c r="L49" s="6" t="s">
        <v>86</v>
      </c>
      <c r="M49" s="6" t="s">
        <v>57</v>
      </c>
      <c r="N49" s="6" t="s">
        <v>58</v>
      </c>
      <c r="O49" s="6" t="s">
        <v>145</v>
      </c>
      <c r="P49" s="8" t="s">
        <v>150</v>
      </c>
      <c r="Q49" s="6" t="s">
        <v>50</v>
      </c>
      <c r="R49" s="6" t="s">
        <v>48</v>
      </c>
      <c r="S49" s="6" t="s">
        <v>48</v>
      </c>
      <c r="T49" s="6" t="s">
        <v>88</v>
      </c>
      <c r="U49" s="5">
        <f t="shared" si="1"/>
        <v>19.93953</v>
      </c>
      <c r="V49" s="5"/>
      <c r="W49" s="5"/>
      <c r="X49" s="5"/>
      <c r="Y49" s="5"/>
      <c r="Z49" s="5"/>
      <c r="AA49" s="5"/>
    </row>
    <row r="50" ht="15.75" customHeight="1">
      <c r="A50" s="6" t="s">
        <v>24</v>
      </c>
      <c r="B50" s="6" t="s">
        <v>141</v>
      </c>
      <c r="C50" s="6" t="s">
        <v>72</v>
      </c>
      <c r="D50" s="6" t="s">
        <v>54</v>
      </c>
      <c r="E50" s="6" t="s">
        <v>142</v>
      </c>
      <c r="F50" s="6" t="s">
        <v>143</v>
      </c>
      <c r="G50" s="7">
        <v>114.83999999999999</v>
      </c>
      <c r="H50" s="6" t="s">
        <v>151</v>
      </c>
      <c r="I50" s="6" t="s">
        <v>48</v>
      </c>
      <c r="J50" s="8">
        <v>1136.0</v>
      </c>
      <c r="K50" s="6" t="s">
        <v>74</v>
      </c>
      <c r="L50" s="6" t="s">
        <v>75</v>
      </c>
      <c r="M50" s="6" t="s">
        <v>76</v>
      </c>
      <c r="N50" s="6" t="s">
        <v>58</v>
      </c>
      <c r="O50" s="6" t="s">
        <v>145</v>
      </c>
      <c r="P50" s="8" t="s">
        <v>149</v>
      </c>
      <c r="Q50" s="6" t="s">
        <v>50</v>
      </c>
      <c r="R50" s="6" t="s">
        <v>48</v>
      </c>
      <c r="S50" s="6" t="s">
        <v>48</v>
      </c>
      <c r="T50" s="6" t="s">
        <v>77</v>
      </c>
      <c r="U50" s="5">
        <f t="shared" si="1"/>
        <v>19.22323</v>
      </c>
      <c r="V50" s="5"/>
      <c r="W50" s="5"/>
      <c r="X50" s="5"/>
      <c r="Y50" s="5"/>
      <c r="Z50" s="5"/>
      <c r="AA50" s="5"/>
    </row>
    <row r="51" ht="15.75" customHeight="1">
      <c r="A51" s="6" t="s">
        <v>24</v>
      </c>
      <c r="B51" s="6" t="s">
        <v>152</v>
      </c>
      <c r="C51" s="6" t="s">
        <v>26</v>
      </c>
      <c r="D51" s="6" t="s">
        <v>27</v>
      </c>
      <c r="E51" s="6" t="s">
        <v>153</v>
      </c>
      <c r="F51" s="6" t="s">
        <v>154</v>
      </c>
      <c r="G51" s="7">
        <v>153.11999999999998</v>
      </c>
      <c r="H51" s="6" t="s">
        <v>155</v>
      </c>
      <c r="I51" s="6" t="s">
        <v>31</v>
      </c>
      <c r="J51" s="8">
        <v>943.0</v>
      </c>
      <c r="K51" s="6" t="s">
        <v>36</v>
      </c>
      <c r="L51" s="6" t="s">
        <v>38</v>
      </c>
      <c r="M51" s="6" t="s">
        <v>39</v>
      </c>
      <c r="N51" s="6" t="s">
        <v>41</v>
      </c>
      <c r="O51" s="6" t="s">
        <v>156</v>
      </c>
      <c r="P51" s="8" t="s">
        <v>157</v>
      </c>
      <c r="Q51" s="6" t="s">
        <v>50</v>
      </c>
      <c r="R51" s="6" t="s">
        <v>48</v>
      </c>
      <c r="S51" s="6" t="s">
        <v>48</v>
      </c>
      <c r="T51" s="6" t="s">
        <v>51</v>
      </c>
      <c r="U51" s="5">
        <f t="shared" si="1"/>
        <v>19.34764</v>
      </c>
      <c r="V51" s="5"/>
      <c r="W51" s="5"/>
      <c r="X51" s="5"/>
      <c r="Y51" s="5"/>
      <c r="Z51" s="5"/>
      <c r="AA51" s="5"/>
    </row>
    <row r="52" ht="15.75" customHeight="1">
      <c r="A52" s="6" t="s">
        <v>24</v>
      </c>
      <c r="B52" s="6" t="s">
        <v>152</v>
      </c>
      <c r="C52" s="6" t="s">
        <v>53</v>
      </c>
      <c r="D52" s="6" t="s">
        <v>54</v>
      </c>
      <c r="E52" s="6" t="s">
        <v>153</v>
      </c>
      <c r="F52" s="6" t="s">
        <v>154</v>
      </c>
      <c r="G52" s="7">
        <v>242.43999999999997</v>
      </c>
      <c r="H52" s="6" t="s">
        <v>158</v>
      </c>
      <c r="I52" s="6" t="s">
        <v>84</v>
      </c>
      <c r="J52" s="8">
        <v>565.0</v>
      </c>
      <c r="K52" s="6" t="s">
        <v>85</v>
      </c>
      <c r="L52" s="6" t="s">
        <v>86</v>
      </c>
      <c r="M52" s="6" t="s">
        <v>57</v>
      </c>
      <c r="N52" s="6" t="s">
        <v>58</v>
      </c>
      <c r="O52" s="6" t="s">
        <v>156</v>
      </c>
      <c r="P52" s="8" t="s">
        <v>159</v>
      </c>
      <c r="Q52" s="6" t="s">
        <v>50</v>
      </c>
      <c r="R52" s="6" t="s">
        <v>48</v>
      </c>
      <c r="S52" s="6" t="s">
        <v>48</v>
      </c>
      <c r="T52" s="6" t="s">
        <v>88</v>
      </c>
      <c r="U52" s="5">
        <f t="shared" si="1"/>
        <v>19.63793</v>
      </c>
      <c r="V52" s="5"/>
      <c r="W52" s="5"/>
      <c r="X52" s="5"/>
      <c r="Y52" s="5"/>
      <c r="Z52" s="5"/>
      <c r="AA52" s="5"/>
    </row>
    <row r="53" ht="15.75" customHeight="1">
      <c r="A53" s="6" t="s">
        <v>24</v>
      </c>
      <c r="B53" s="6" t="s">
        <v>152</v>
      </c>
      <c r="C53" s="6" t="s">
        <v>72</v>
      </c>
      <c r="D53" s="6" t="s">
        <v>54</v>
      </c>
      <c r="E53" s="6" t="s">
        <v>153</v>
      </c>
      <c r="F53" s="6" t="s">
        <v>154</v>
      </c>
      <c r="G53" s="7">
        <v>114.83999999999999</v>
      </c>
      <c r="H53" s="6" t="s">
        <v>100</v>
      </c>
      <c r="I53" s="6" t="s">
        <v>48</v>
      </c>
      <c r="J53" s="8">
        <v>1113.0</v>
      </c>
      <c r="K53" s="6" t="s">
        <v>74</v>
      </c>
      <c r="L53" s="6" t="s">
        <v>75</v>
      </c>
      <c r="M53" s="6" t="s">
        <v>76</v>
      </c>
      <c r="N53" s="6" t="s">
        <v>58</v>
      </c>
      <c r="O53" s="6" t="s">
        <v>156</v>
      </c>
      <c r="P53" s="8" t="s">
        <v>159</v>
      </c>
      <c r="Q53" s="6" t="s">
        <v>50</v>
      </c>
      <c r="R53" s="6" t="s">
        <v>48</v>
      </c>
      <c r="S53" s="6" t="s">
        <v>48</v>
      </c>
      <c r="T53" s="6" t="s">
        <v>77</v>
      </c>
      <c r="U53" s="5">
        <f t="shared" si="1"/>
        <v>19.22323</v>
      </c>
      <c r="V53" s="5"/>
      <c r="W53" s="5"/>
      <c r="X53" s="5"/>
      <c r="Y53" s="5"/>
      <c r="Z53" s="5"/>
      <c r="AA53" s="5"/>
    </row>
    <row r="54" ht="15.75" customHeight="1">
      <c r="A54" s="6" t="s">
        <v>24</v>
      </c>
      <c r="B54" s="6" t="s">
        <v>160</v>
      </c>
      <c r="C54" s="6" t="s">
        <v>26</v>
      </c>
      <c r="D54" s="6" t="s">
        <v>27</v>
      </c>
      <c r="E54" s="6" t="s">
        <v>161</v>
      </c>
      <c r="F54" s="6" t="s">
        <v>162</v>
      </c>
      <c r="G54" s="7">
        <v>153.11999999999998</v>
      </c>
      <c r="H54" s="6" t="s">
        <v>163</v>
      </c>
      <c r="I54" s="6" t="s">
        <v>31</v>
      </c>
      <c r="J54" s="8">
        <v>1938.0</v>
      </c>
      <c r="K54" s="6" t="s">
        <v>36</v>
      </c>
      <c r="L54" s="6" t="s">
        <v>38</v>
      </c>
      <c r="M54" s="6" t="s">
        <v>39</v>
      </c>
      <c r="N54" s="6" t="s">
        <v>41</v>
      </c>
      <c r="O54" s="6" t="s">
        <v>164</v>
      </c>
      <c r="P54" s="8" t="s">
        <v>165</v>
      </c>
      <c r="Q54" s="6" t="s">
        <v>50</v>
      </c>
      <c r="R54" s="6" t="s">
        <v>48</v>
      </c>
      <c r="S54" s="6" t="s">
        <v>48</v>
      </c>
      <c r="T54" s="6" t="s">
        <v>51</v>
      </c>
      <c r="U54" s="5">
        <f t="shared" si="1"/>
        <v>19.34764</v>
      </c>
      <c r="V54" s="5"/>
      <c r="W54" s="5"/>
      <c r="X54" s="5"/>
      <c r="Y54" s="5"/>
      <c r="Z54" s="5"/>
      <c r="AA54" s="5"/>
    </row>
    <row r="55" ht="15.75" customHeight="1">
      <c r="A55" s="6" t="s">
        <v>24</v>
      </c>
      <c r="B55" s="6" t="s">
        <v>160</v>
      </c>
      <c r="C55" s="6" t="s">
        <v>53</v>
      </c>
      <c r="D55" s="6" t="s">
        <v>54</v>
      </c>
      <c r="E55" s="6" t="s">
        <v>161</v>
      </c>
      <c r="F55" s="6" t="s">
        <v>162</v>
      </c>
      <c r="G55" s="7">
        <v>331.76</v>
      </c>
      <c r="H55" s="6" t="s">
        <v>166</v>
      </c>
      <c r="I55" s="6" t="s">
        <v>84</v>
      </c>
      <c r="J55" s="8">
        <v>1003.0</v>
      </c>
      <c r="K55" s="6" t="s">
        <v>85</v>
      </c>
      <c r="L55" s="6" t="s">
        <v>86</v>
      </c>
      <c r="M55" s="6" t="s">
        <v>57</v>
      </c>
      <c r="N55" s="6" t="s">
        <v>58</v>
      </c>
      <c r="O55" s="6" t="s">
        <v>164</v>
      </c>
      <c r="P55" s="8" t="s">
        <v>167</v>
      </c>
      <c r="Q55" s="6" t="s">
        <v>50</v>
      </c>
      <c r="R55" s="6" t="s">
        <v>48</v>
      </c>
      <c r="S55" s="6" t="s">
        <v>48</v>
      </c>
      <c r="T55" s="6" t="s">
        <v>88</v>
      </c>
      <c r="U55" s="5">
        <f t="shared" si="1"/>
        <v>19.92822</v>
      </c>
      <c r="V55" s="5"/>
      <c r="W55" s="5"/>
      <c r="X55" s="5"/>
      <c r="Y55" s="5"/>
      <c r="Z55" s="5"/>
      <c r="AA55" s="5"/>
    </row>
    <row r="56" ht="15.75" customHeight="1">
      <c r="A56" s="6" t="s">
        <v>24</v>
      </c>
      <c r="B56" s="6" t="s">
        <v>160</v>
      </c>
      <c r="C56" s="6" t="s">
        <v>72</v>
      </c>
      <c r="D56" s="6" t="s">
        <v>54</v>
      </c>
      <c r="E56" s="6" t="s">
        <v>161</v>
      </c>
      <c r="F56" s="6" t="s">
        <v>162</v>
      </c>
      <c r="G56" s="7">
        <v>134.56</v>
      </c>
      <c r="H56" s="6" t="s">
        <v>168</v>
      </c>
      <c r="I56" s="6" t="s">
        <v>48</v>
      </c>
      <c r="J56" s="8">
        <v>1100.0</v>
      </c>
      <c r="K56" s="6" t="s">
        <v>74</v>
      </c>
      <c r="L56" s="6" t="s">
        <v>75</v>
      </c>
      <c r="M56" s="6" t="s">
        <v>76</v>
      </c>
      <c r="N56" s="6" t="s">
        <v>58</v>
      </c>
      <c r="O56" s="6" t="s">
        <v>164</v>
      </c>
      <c r="P56" s="8" t="s">
        <v>167</v>
      </c>
      <c r="Q56" s="6" t="s">
        <v>50</v>
      </c>
      <c r="R56" s="6" t="s">
        <v>48</v>
      </c>
      <c r="S56" s="6" t="s">
        <v>48</v>
      </c>
      <c r="T56" s="6" t="s">
        <v>77</v>
      </c>
      <c r="U56" s="5">
        <f t="shared" si="1"/>
        <v>19.28732</v>
      </c>
      <c r="V56" s="5"/>
      <c r="W56" s="5"/>
      <c r="X56" s="5"/>
      <c r="Y56" s="5"/>
      <c r="Z56" s="5"/>
      <c r="AA56" s="5"/>
    </row>
    <row r="57" ht="15.75" customHeight="1">
      <c r="A57" s="6" t="s">
        <v>24</v>
      </c>
      <c r="B57" s="6" t="s">
        <v>169</v>
      </c>
      <c r="C57" s="6" t="s">
        <v>26</v>
      </c>
      <c r="D57" s="6" t="s">
        <v>27</v>
      </c>
      <c r="E57" s="6" t="s">
        <v>170</v>
      </c>
      <c r="F57" s="6" t="s">
        <v>171</v>
      </c>
      <c r="G57" s="7">
        <v>139.2</v>
      </c>
      <c r="H57" s="6" t="s">
        <v>172</v>
      </c>
      <c r="I57" s="6" t="s">
        <v>37</v>
      </c>
      <c r="J57" s="8">
        <v>6193.0</v>
      </c>
      <c r="K57" s="6" t="s">
        <v>40</v>
      </c>
      <c r="L57" s="6" t="s">
        <v>42</v>
      </c>
      <c r="M57" s="6" t="s">
        <v>44</v>
      </c>
      <c r="N57" s="6" t="s">
        <v>41</v>
      </c>
      <c r="O57" s="6" t="s">
        <v>173</v>
      </c>
      <c r="P57" s="8" t="s">
        <v>174</v>
      </c>
      <c r="Q57" s="6" t="s">
        <v>50</v>
      </c>
      <c r="R57" s="6" t="s">
        <v>48</v>
      </c>
      <c r="S57" s="6" t="s">
        <v>48</v>
      </c>
      <c r="T57" s="6" t="s">
        <v>52</v>
      </c>
      <c r="U57" s="5">
        <f t="shared" si="1"/>
        <v>19.3024</v>
      </c>
      <c r="V57" s="5"/>
      <c r="W57" s="5"/>
      <c r="X57" s="5"/>
      <c r="Y57" s="5"/>
      <c r="Z57" s="5"/>
      <c r="AA57" s="5"/>
    </row>
    <row r="58" ht="15.75" customHeight="1">
      <c r="A58" s="6" t="s">
        <v>24</v>
      </c>
      <c r="B58" s="6" t="s">
        <v>169</v>
      </c>
      <c r="C58" s="6" t="s">
        <v>53</v>
      </c>
      <c r="D58" s="6" t="s">
        <v>54</v>
      </c>
      <c r="E58" s="6" t="s">
        <v>170</v>
      </c>
      <c r="F58" s="6" t="s">
        <v>171</v>
      </c>
      <c r="G58" s="7">
        <v>330.59999999999997</v>
      </c>
      <c r="H58" s="6" t="s">
        <v>175</v>
      </c>
      <c r="I58" s="6" t="s">
        <v>48</v>
      </c>
      <c r="J58" s="8">
        <v>6204.0</v>
      </c>
      <c r="K58" s="6" t="s">
        <v>53</v>
      </c>
      <c r="L58" s="6" t="s">
        <v>56</v>
      </c>
      <c r="M58" s="6" t="s">
        <v>57</v>
      </c>
      <c r="N58" s="6" t="s">
        <v>58</v>
      </c>
      <c r="O58" s="6" t="s">
        <v>173</v>
      </c>
      <c r="P58" s="8" t="s">
        <v>176</v>
      </c>
      <c r="Q58" s="6" t="s">
        <v>50</v>
      </c>
      <c r="R58" s="6" t="s">
        <v>48</v>
      </c>
      <c r="S58" s="6" t="s">
        <v>48</v>
      </c>
      <c r="T58" s="6" t="s">
        <v>52</v>
      </c>
      <c r="U58" s="5">
        <f t="shared" si="1"/>
        <v>19.92445</v>
      </c>
      <c r="V58" s="5"/>
      <c r="W58" s="5"/>
      <c r="X58" s="5"/>
      <c r="Y58" s="5"/>
      <c r="Z58" s="5"/>
      <c r="AA58" s="5"/>
    </row>
    <row r="59" ht="15.75" customHeight="1">
      <c r="A59" s="6" t="s">
        <v>24</v>
      </c>
      <c r="B59" s="6" t="s">
        <v>169</v>
      </c>
      <c r="C59" s="6" t="s">
        <v>62</v>
      </c>
      <c r="D59" s="6" t="s">
        <v>27</v>
      </c>
      <c r="E59" s="6" t="s">
        <v>170</v>
      </c>
      <c r="F59" s="6" t="s">
        <v>171</v>
      </c>
      <c r="G59" s="7">
        <v>115.99999999999999</v>
      </c>
      <c r="H59" s="6" t="s">
        <v>177</v>
      </c>
      <c r="I59" s="6" t="s">
        <v>48</v>
      </c>
      <c r="J59" s="8">
        <v>954.0</v>
      </c>
      <c r="K59" s="6" t="s">
        <v>62</v>
      </c>
      <c r="L59" s="6" t="s">
        <v>69</v>
      </c>
      <c r="M59" s="6" t="s">
        <v>70</v>
      </c>
      <c r="N59" s="6" t="s">
        <v>58</v>
      </c>
      <c r="O59" s="6" t="s">
        <v>173</v>
      </c>
      <c r="P59" s="8" t="s">
        <v>178</v>
      </c>
      <c r="Q59" s="6" t="s">
        <v>50</v>
      </c>
      <c r="R59" s="6" t="s">
        <v>48</v>
      </c>
      <c r="S59" s="6" t="s">
        <v>48</v>
      </c>
      <c r="T59" s="6" t="s">
        <v>52</v>
      </c>
      <c r="U59" s="5">
        <f t="shared" si="1"/>
        <v>19.227</v>
      </c>
      <c r="V59" s="5"/>
      <c r="W59" s="5"/>
      <c r="X59" s="5"/>
      <c r="Y59" s="5"/>
      <c r="Z59" s="5"/>
      <c r="AA59" s="5"/>
    </row>
    <row r="60" ht="15.75" customHeight="1">
      <c r="A60" s="6" t="s">
        <v>24</v>
      </c>
      <c r="B60" s="6" t="s">
        <v>169</v>
      </c>
      <c r="C60" s="6" t="s">
        <v>72</v>
      </c>
      <c r="D60" s="6" t="s">
        <v>54</v>
      </c>
      <c r="E60" s="6" t="s">
        <v>170</v>
      </c>
      <c r="F60" s="6" t="s">
        <v>171</v>
      </c>
      <c r="G60" s="7">
        <v>115.99999999999999</v>
      </c>
      <c r="H60" s="6" t="s">
        <v>83</v>
      </c>
      <c r="I60" s="6" t="s">
        <v>48</v>
      </c>
      <c r="J60" s="8">
        <v>2002.0</v>
      </c>
      <c r="K60" s="6" t="s">
        <v>74</v>
      </c>
      <c r="L60" s="6" t="s">
        <v>75</v>
      </c>
      <c r="M60" s="6" t="s">
        <v>76</v>
      </c>
      <c r="N60" s="6" t="s">
        <v>58</v>
      </c>
      <c r="O60" s="6" t="s">
        <v>173</v>
      </c>
      <c r="P60" s="8" t="s">
        <v>176</v>
      </c>
      <c r="Q60" s="6" t="s">
        <v>50</v>
      </c>
      <c r="R60" s="6" t="s">
        <v>48</v>
      </c>
      <c r="S60" s="6" t="s">
        <v>48</v>
      </c>
      <c r="T60" s="6" t="s">
        <v>77</v>
      </c>
      <c r="U60" s="5">
        <f t="shared" si="1"/>
        <v>19.227</v>
      </c>
      <c r="V60" s="5"/>
      <c r="W60" s="5"/>
      <c r="X60" s="5"/>
      <c r="Y60" s="5"/>
      <c r="Z60" s="5"/>
      <c r="AA60" s="5"/>
    </row>
    <row r="61" ht="15.75" customHeight="1">
      <c r="A61" s="6" t="s">
        <v>24</v>
      </c>
      <c r="B61" s="6" t="s">
        <v>169</v>
      </c>
      <c r="C61" s="6" t="s">
        <v>72</v>
      </c>
      <c r="D61" s="6" t="s">
        <v>27</v>
      </c>
      <c r="E61" s="6" t="s">
        <v>170</v>
      </c>
      <c r="F61" s="6" t="s">
        <v>171</v>
      </c>
      <c r="G61" s="7">
        <v>127.6</v>
      </c>
      <c r="H61" s="6" t="s">
        <v>179</v>
      </c>
      <c r="I61" s="6" t="s">
        <v>48</v>
      </c>
      <c r="J61" s="8">
        <v>6190.0</v>
      </c>
      <c r="K61" s="6" t="s">
        <v>74</v>
      </c>
      <c r="L61" s="6" t="s">
        <v>75</v>
      </c>
      <c r="M61" s="6" t="s">
        <v>76</v>
      </c>
      <c r="N61" s="6" t="s">
        <v>58</v>
      </c>
      <c r="O61" s="6" t="s">
        <v>173</v>
      </c>
      <c r="P61" s="8" t="s">
        <v>178</v>
      </c>
      <c r="Q61" s="6" t="s">
        <v>50</v>
      </c>
      <c r="R61" s="6" t="s">
        <v>48</v>
      </c>
      <c r="S61" s="6" t="s">
        <v>48</v>
      </c>
      <c r="T61" s="6" t="s">
        <v>77</v>
      </c>
      <c r="U61" s="5">
        <f t="shared" si="1"/>
        <v>19.2647</v>
      </c>
      <c r="V61" s="5"/>
      <c r="W61" s="5"/>
      <c r="X61" s="5"/>
      <c r="Y61" s="5"/>
      <c r="Z61" s="5"/>
      <c r="AA61" s="5"/>
    </row>
    <row r="62" ht="15.75" customHeight="1">
      <c r="A62" s="6" t="s">
        <v>24</v>
      </c>
      <c r="B62" s="6" t="s">
        <v>180</v>
      </c>
      <c r="C62" s="6" t="s">
        <v>26</v>
      </c>
      <c r="D62" s="6" t="s">
        <v>27</v>
      </c>
      <c r="E62" s="6" t="s">
        <v>181</v>
      </c>
      <c r="F62" s="6" t="s">
        <v>182</v>
      </c>
      <c r="G62" s="7">
        <v>153.11999999999998</v>
      </c>
      <c r="H62" s="6" t="s">
        <v>183</v>
      </c>
      <c r="I62" s="6" t="s">
        <v>31</v>
      </c>
      <c r="J62" s="8">
        <v>779.0</v>
      </c>
      <c r="K62" s="6" t="s">
        <v>36</v>
      </c>
      <c r="L62" s="6" t="s">
        <v>38</v>
      </c>
      <c r="M62" s="6" t="s">
        <v>39</v>
      </c>
      <c r="N62" s="6" t="s">
        <v>41</v>
      </c>
      <c r="O62" s="6" t="s">
        <v>184</v>
      </c>
      <c r="P62" s="8" t="s">
        <v>185</v>
      </c>
      <c r="Q62" s="6" t="s">
        <v>50</v>
      </c>
      <c r="R62" s="6" t="s">
        <v>48</v>
      </c>
      <c r="S62" s="6" t="s">
        <v>48</v>
      </c>
      <c r="T62" s="6" t="s">
        <v>51</v>
      </c>
      <c r="U62" s="5">
        <f t="shared" si="1"/>
        <v>19.34764</v>
      </c>
      <c r="V62" s="5"/>
      <c r="W62" s="5"/>
      <c r="X62" s="5"/>
      <c r="Y62" s="5"/>
      <c r="Z62" s="5"/>
      <c r="AA62" s="5"/>
    </row>
    <row r="63" ht="15.75" customHeight="1">
      <c r="A63" s="6" t="s">
        <v>24</v>
      </c>
      <c r="B63" s="6" t="s">
        <v>180</v>
      </c>
      <c r="C63" s="6" t="s">
        <v>53</v>
      </c>
      <c r="D63" s="6" t="s">
        <v>54</v>
      </c>
      <c r="E63" s="6" t="s">
        <v>181</v>
      </c>
      <c r="F63" s="6" t="s">
        <v>182</v>
      </c>
      <c r="G63" s="7">
        <v>242.43999999999997</v>
      </c>
      <c r="H63" s="6" t="s">
        <v>186</v>
      </c>
      <c r="I63" s="6" t="s">
        <v>84</v>
      </c>
      <c r="J63" s="8">
        <v>741.0</v>
      </c>
      <c r="K63" s="6" t="s">
        <v>85</v>
      </c>
      <c r="L63" s="6" t="s">
        <v>86</v>
      </c>
      <c r="M63" s="6" t="s">
        <v>57</v>
      </c>
      <c r="N63" s="6" t="s">
        <v>58</v>
      </c>
      <c r="O63" s="6" t="s">
        <v>184</v>
      </c>
      <c r="P63" s="8" t="s">
        <v>187</v>
      </c>
      <c r="Q63" s="6" t="s">
        <v>50</v>
      </c>
      <c r="R63" s="6" t="s">
        <v>48</v>
      </c>
      <c r="S63" s="6" t="s">
        <v>48</v>
      </c>
      <c r="T63" s="6" t="s">
        <v>88</v>
      </c>
      <c r="U63" s="5">
        <f t="shared" si="1"/>
        <v>19.63793</v>
      </c>
      <c r="V63" s="5"/>
      <c r="W63" s="5"/>
      <c r="X63" s="5"/>
      <c r="Y63" s="5"/>
      <c r="Z63" s="5"/>
      <c r="AA63" s="5"/>
    </row>
    <row r="64" ht="15.75" customHeight="1">
      <c r="A64" s="6" t="s">
        <v>24</v>
      </c>
      <c r="B64" s="6" t="s">
        <v>180</v>
      </c>
      <c r="C64" s="6" t="s">
        <v>53</v>
      </c>
      <c r="D64" s="6" t="s">
        <v>27</v>
      </c>
      <c r="E64" s="6" t="s">
        <v>181</v>
      </c>
      <c r="F64" s="6" t="s">
        <v>182</v>
      </c>
      <c r="G64" s="7">
        <v>319.0</v>
      </c>
      <c r="H64" s="6" t="s">
        <v>188</v>
      </c>
      <c r="I64" s="6" t="s">
        <v>84</v>
      </c>
      <c r="J64" s="8">
        <v>1860.0</v>
      </c>
      <c r="K64" s="6" t="s">
        <v>85</v>
      </c>
      <c r="L64" s="6" t="s">
        <v>86</v>
      </c>
      <c r="M64" s="6" t="s">
        <v>57</v>
      </c>
      <c r="N64" s="6" t="s">
        <v>58</v>
      </c>
      <c r="O64" s="6" t="s">
        <v>184</v>
      </c>
      <c r="P64" s="8" t="s">
        <v>189</v>
      </c>
      <c r="Q64" s="6" t="s">
        <v>50</v>
      </c>
      <c r="R64" s="6" t="s">
        <v>48</v>
      </c>
      <c r="S64" s="6" t="s">
        <v>48</v>
      </c>
      <c r="T64" s="6" t="s">
        <v>88</v>
      </c>
      <c r="U64" s="5">
        <f t="shared" si="1"/>
        <v>19.88675</v>
      </c>
      <c r="V64" s="5"/>
      <c r="W64" s="5"/>
      <c r="X64" s="5"/>
      <c r="Y64" s="5"/>
      <c r="Z64" s="5"/>
      <c r="AA64" s="5"/>
    </row>
    <row r="65" ht="15.75" customHeight="1">
      <c r="A65" s="6" t="s">
        <v>24</v>
      </c>
      <c r="B65" s="6" t="s">
        <v>180</v>
      </c>
      <c r="C65" s="6" t="s">
        <v>72</v>
      </c>
      <c r="D65" s="6" t="s">
        <v>54</v>
      </c>
      <c r="E65" s="6" t="s">
        <v>181</v>
      </c>
      <c r="F65" s="6" t="s">
        <v>182</v>
      </c>
      <c r="G65" s="7">
        <v>114.83999999999999</v>
      </c>
      <c r="H65" s="6" t="s">
        <v>190</v>
      </c>
      <c r="I65" s="6" t="s">
        <v>48</v>
      </c>
      <c r="J65" s="8">
        <v>1025.0</v>
      </c>
      <c r="K65" s="6" t="s">
        <v>74</v>
      </c>
      <c r="L65" s="6" t="s">
        <v>75</v>
      </c>
      <c r="M65" s="6" t="s">
        <v>76</v>
      </c>
      <c r="N65" s="6" t="s">
        <v>58</v>
      </c>
      <c r="O65" s="6" t="s">
        <v>184</v>
      </c>
      <c r="P65" s="8" t="s">
        <v>187</v>
      </c>
      <c r="Q65" s="6" t="s">
        <v>50</v>
      </c>
      <c r="R65" s="6" t="s">
        <v>48</v>
      </c>
      <c r="S65" s="6" t="s">
        <v>48</v>
      </c>
      <c r="T65" s="6" t="s">
        <v>77</v>
      </c>
      <c r="U65" s="5">
        <f t="shared" si="1"/>
        <v>19.22323</v>
      </c>
      <c r="V65" s="5"/>
      <c r="W65" s="5"/>
      <c r="X65" s="5"/>
      <c r="Y65" s="5"/>
      <c r="Z65" s="5"/>
      <c r="AA65" s="5"/>
    </row>
    <row r="66" ht="15.75" customHeight="1">
      <c r="A66" s="6" t="s">
        <v>24</v>
      </c>
      <c r="B66" s="6" t="s">
        <v>191</v>
      </c>
      <c r="C66" s="6" t="s">
        <v>26</v>
      </c>
      <c r="D66" s="6" t="s">
        <v>27</v>
      </c>
      <c r="E66" s="6" t="s">
        <v>192</v>
      </c>
      <c r="F66" s="6" t="s">
        <v>193</v>
      </c>
      <c r="G66" s="7">
        <v>156.6</v>
      </c>
      <c r="H66" s="6" t="s">
        <v>194</v>
      </c>
      <c r="I66" s="6" t="s">
        <v>31</v>
      </c>
      <c r="J66" s="8">
        <v>765.0</v>
      </c>
      <c r="K66" s="6" t="s">
        <v>36</v>
      </c>
      <c r="L66" s="6" t="s">
        <v>38</v>
      </c>
      <c r="M66" s="6" t="s">
        <v>39</v>
      </c>
      <c r="N66" s="6" t="s">
        <v>41</v>
      </c>
      <c r="O66" s="6" t="s">
        <v>195</v>
      </c>
      <c r="P66" s="8" t="s">
        <v>196</v>
      </c>
      <c r="Q66" s="6" t="s">
        <v>50</v>
      </c>
      <c r="R66" s="6" t="s">
        <v>48</v>
      </c>
      <c r="S66" s="6" t="s">
        <v>48</v>
      </c>
      <c r="T66" s="6" t="s">
        <v>51</v>
      </c>
      <c r="U66" s="5">
        <f t="shared" si="1"/>
        <v>19.35895</v>
      </c>
      <c r="V66" s="5"/>
      <c r="W66" s="5"/>
      <c r="X66" s="5"/>
      <c r="Y66" s="5"/>
      <c r="Z66" s="5"/>
      <c r="AA66" s="5"/>
    </row>
    <row r="67" ht="15.75" customHeight="1">
      <c r="A67" s="6" t="s">
        <v>24</v>
      </c>
      <c r="B67" s="6" t="s">
        <v>191</v>
      </c>
      <c r="C67" s="6" t="s">
        <v>53</v>
      </c>
      <c r="D67" s="6" t="s">
        <v>54</v>
      </c>
      <c r="E67" s="6" t="s">
        <v>192</v>
      </c>
      <c r="F67" s="6" t="s">
        <v>193</v>
      </c>
      <c r="G67" s="7">
        <v>243.6</v>
      </c>
      <c r="H67" s="6" t="s">
        <v>197</v>
      </c>
      <c r="I67" s="6" t="s">
        <v>84</v>
      </c>
      <c r="J67" s="8">
        <v>6652.0</v>
      </c>
      <c r="K67" s="6" t="s">
        <v>85</v>
      </c>
      <c r="L67" s="6" t="s">
        <v>86</v>
      </c>
      <c r="M67" s="6" t="s">
        <v>57</v>
      </c>
      <c r="N67" s="6" t="s">
        <v>58</v>
      </c>
      <c r="O67" s="6" t="s">
        <v>195</v>
      </c>
      <c r="P67" s="8" t="s">
        <v>198</v>
      </c>
      <c r="Q67" s="6" t="s">
        <v>50</v>
      </c>
      <c r="R67" s="6" t="s">
        <v>48</v>
      </c>
      <c r="S67" s="6" t="s">
        <v>48</v>
      </c>
      <c r="T67" s="6" t="s">
        <v>88</v>
      </c>
      <c r="U67" s="5">
        <f t="shared" si="1"/>
        <v>19.6417</v>
      </c>
      <c r="V67" s="5"/>
      <c r="W67" s="5"/>
      <c r="X67" s="5"/>
      <c r="Y67" s="5"/>
      <c r="Z67" s="5"/>
      <c r="AA67" s="5"/>
    </row>
    <row r="68" ht="15.75" customHeight="1">
      <c r="A68" s="6" t="s">
        <v>199</v>
      </c>
      <c r="B68" s="6" t="s">
        <v>200</v>
      </c>
      <c r="C68" s="6" t="s">
        <v>26</v>
      </c>
      <c r="D68" s="6" t="s">
        <v>63</v>
      </c>
      <c r="E68" s="6" t="s">
        <v>201</v>
      </c>
      <c r="F68" s="6" t="s">
        <v>202</v>
      </c>
      <c r="G68" s="7">
        <v>150.79999999999998</v>
      </c>
      <c r="H68" s="6" t="s">
        <v>177</v>
      </c>
      <c r="I68" s="6" t="s">
        <v>37</v>
      </c>
      <c r="J68" s="8">
        <v>790.0</v>
      </c>
      <c r="K68" s="6" t="s">
        <v>40</v>
      </c>
      <c r="L68" s="6" t="s">
        <v>42</v>
      </c>
      <c r="M68" s="6" t="s">
        <v>44</v>
      </c>
      <c r="N68" s="6" t="s">
        <v>41</v>
      </c>
      <c r="O68" s="6" t="s">
        <v>203</v>
      </c>
      <c r="P68" s="8" t="s">
        <v>204</v>
      </c>
      <c r="Q68" s="6" t="s">
        <v>46</v>
      </c>
      <c r="R68" s="6" t="s">
        <v>48</v>
      </c>
      <c r="S68" s="6" t="s">
        <v>48</v>
      </c>
      <c r="T68" s="6" t="s">
        <v>52</v>
      </c>
      <c r="U68" s="5">
        <f t="shared" si="1"/>
        <v>19.3401</v>
      </c>
      <c r="V68" s="5"/>
      <c r="W68" s="5"/>
      <c r="X68" s="5"/>
      <c r="Y68" s="5"/>
      <c r="Z68" s="5"/>
      <c r="AA68" s="5"/>
    </row>
    <row r="69" ht="15.75" customHeight="1">
      <c r="A69" s="6" t="s">
        <v>199</v>
      </c>
      <c r="B69" s="6" t="s">
        <v>200</v>
      </c>
      <c r="C69" s="6" t="s">
        <v>53</v>
      </c>
      <c r="D69" s="6" t="s">
        <v>63</v>
      </c>
      <c r="E69" s="6" t="s">
        <v>201</v>
      </c>
      <c r="F69" s="6" t="s">
        <v>202</v>
      </c>
      <c r="G69" s="7">
        <v>208.79999999999998</v>
      </c>
      <c r="H69" s="6" t="s">
        <v>177</v>
      </c>
      <c r="I69" s="6" t="s">
        <v>48</v>
      </c>
      <c r="J69" s="8">
        <v>1157.0</v>
      </c>
      <c r="K69" s="6" t="s">
        <v>53</v>
      </c>
      <c r="L69" s="6" t="s">
        <v>56</v>
      </c>
      <c r="M69" s="6" t="s">
        <v>57</v>
      </c>
      <c r="N69" s="6" t="s">
        <v>58</v>
      </c>
      <c r="O69" s="6" t="s">
        <v>203</v>
      </c>
      <c r="P69" s="8" t="s">
        <v>205</v>
      </c>
      <c r="Q69" s="6" t="s">
        <v>46</v>
      </c>
      <c r="R69" s="6" t="s">
        <v>48</v>
      </c>
      <c r="S69" s="6" t="s">
        <v>48</v>
      </c>
      <c r="T69" s="6" t="s">
        <v>52</v>
      </c>
      <c r="U69" s="5">
        <f t="shared" si="1"/>
        <v>19.5286</v>
      </c>
      <c r="V69" s="5"/>
      <c r="W69" s="5"/>
      <c r="X69" s="5"/>
      <c r="Y69" s="5"/>
      <c r="Z69" s="5"/>
      <c r="AA69" s="5"/>
    </row>
    <row r="70" ht="15.75" customHeight="1">
      <c r="A70" s="6" t="s">
        <v>199</v>
      </c>
      <c r="B70" s="6" t="s">
        <v>200</v>
      </c>
      <c r="C70" s="6" t="s">
        <v>62</v>
      </c>
      <c r="D70" s="6" t="s">
        <v>63</v>
      </c>
      <c r="E70" s="6" t="s">
        <v>201</v>
      </c>
      <c r="F70" s="6" t="s">
        <v>202</v>
      </c>
      <c r="G70" s="7">
        <v>92.8</v>
      </c>
      <c r="H70" s="6" t="s">
        <v>83</v>
      </c>
      <c r="I70" s="6" t="s">
        <v>48</v>
      </c>
      <c r="J70" s="8">
        <v>2.0</v>
      </c>
      <c r="K70" s="6" t="s">
        <v>62</v>
      </c>
      <c r="L70" s="6" t="s">
        <v>65</v>
      </c>
      <c r="M70" s="6" t="s">
        <v>66</v>
      </c>
      <c r="N70" s="6" t="s">
        <v>58</v>
      </c>
      <c r="O70" s="6" t="s">
        <v>203</v>
      </c>
      <c r="P70" s="8" t="s">
        <v>205</v>
      </c>
      <c r="Q70" s="6" t="s">
        <v>46</v>
      </c>
      <c r="R70" s="6" t="s">
        <v>48</v>
      </c>
      <c r="S70" s="6" t="s">
        <v>48</v>
      </c>
      <c r="T70" s="6" t="s">
        <v>52</v>
      </c>
      <c r="U70" s="5">
        <f t="shared" si="1"/>
        <v>19.1516</v>
      </c>
      <c r="V70" s="5"/>
      <c r="W70" s="5"/>
      <c r="X70" s="5"/>
      <c r="Y70" s="5"/>
      <c r="Z70" s="5"/>
      <c r="AA70" s="5"/>
    </row>
    <row r="71" ht="15.75" customHeight="1">
      <c r="A71" s="6" t="s">
        <v>199</v>
      </c>
      <c r="B71" s="6" t="s">
        <v>200</v>
      </c>
      <c r="C71" s="6" t="s">
        <v>72</v>
      </c>
      <c r="D71" s="6" t="s">
        <v>63</v>
      </c>
      <c r="E71" s="6" t="s">
        <v>201</v>
      </c>
      <c r="F71" s="6" t="s">
        <v>202</v>
      </c>
      <c r="G71" s="7">
        <v>104.39999999999999</v>
      </c>
      <c r="H71" s="6" t="s">
        <v>83</v>
      </c>
      <c r="I71" s="6" t="s">
        <v>48</v>
      </c>
      <c r="J71" s="8">
        <v>1864.0</v>
      </c>
      <c r="K71" s="6" t="s">
        <v>74</v>
      </c>
      <c r="L71" s="6" t="s">
        <v>206</v>
      </c>
      <c r="M71" s="6" t="s">
        <v>207</v>
      </c>
      <c r="N71" s="6" t="s">
        <v>58</v>
      </c>
      <c r="O71" s="6" t="s">
        <v>203</v>
      </c>
      <c r="P71" s="8" t="s">
        <v>205</v>
      </c>
      <c r="Q71" s="6" t="s">
        <v>46</v>
      </c>
      <c r="R71" s="6" t="s">
        <v>48</v>
      </c>
      <c r="S71" s="6" t="s">
        <v>48</v>
      </c>
      <c r="T71" s="6" t="s">
        <v>77</v>
      </c>
      <c r="U71" s="5">
        <f t="shared" si="1"/>
        <v>19.1893</v>
      </c>
      <c r="V71" s="5"/>
      <c r="W71" s="5"/>
      <c r="X71" s="5"/>
      <c r="Y71" s="5"/>
      <c r="Z71" s="5"/>
      <c r="AA71" s="5"/>
    </row>
    <row r="72" ht="15.75" customHeight="1">
      <c r="A72" s="6" t="s">
        <v>199</v>
      </c>
      <c r="B72" s="6" t="s">
        <v>208</v>
      </c>
      <c r="C72" s="6" t="s">
        <v>26</v>
      </c>
      <c r="D72" s="6" t="s">
        <v>54</v>
      </c>
      <c r="E72" s="6" t="s">
        <v>209</v>
      </c>
      <c r="F72" s="6" t="s">
        <v>210</v>
      </c>
      <c r="G72" s="7">
        <v>121.8</v>
      </c>
      <c r="H72" s="6" t="s">
        <v>211</v>
      </c>
      <c r="I72" s="6" t="s">
        <v>37</v>
      </c>
      <c r="J72" s="8">
        <v>24.0</v>
      </c>
      <c r="K72" s="6" t="s">
        <v>40</v>
      </c>
      <c r="L72" s="6" t="s">
        <v>42</v>
      </c>
      <c r="M72" s="6" t="s">
        <v>44</v>
      </c>
      <c r="N72" s="6" t="s">
        <v>41</v>
      </c>
      <c r="O72" s="6" t="s">
        <v>212</v>
      </c>
      <c r="P72" s="8" t="s">
        <v>213</v>
      </c>
      <c r="Q72" s="6" t="s">
        <v>46</v>
      </c>
      <c r="R72" s="6" t="s">
        <v>48</v>
      </c>
      <c r="S72" s="6" t="s">
        <v>48</v>
      </c>
      <c r="T72" s="6" t="s">
        <v>52</v>
      </c>
      <c r="U72" s="5">
        <f t="shared" si="1"/>
        <v>19.24585</v>
      </c>
      <c r="V72" s="5"/>
      <c r="W72" s="5"/>
      <c r="X72" s="5"/>
      <c r="Y72" s="5"/>
      <c r="Z72" s="5"/>
      <c r="AA72" s="5"/>
    </row>
    <row r="73" ht="15.75" customHeight="1">
      <c r="A73" s="6" t="s">
        <v>199</v>
      </c>
      <c r="B73" s="6" t="s">
        <v>208</v>
      </c>
      <c r="C73" s="6" t="s">
        <v>53</v>
      </c>
      <c r="D73" s="6" t="s">
        <v>63</v>
      </c>
      <c r="E73" s="6" t="s">
        <v>209</v>
      </c>
      <c r="F73" s="6" t="s">
        <v>210</v>
      </c>
      <c r="G73" s="7">
        <v>153.11999999999998</v>
      </c>
      <c r="H73" s="6" t="s">
        <v>214</v>
      </c>
      <c r="I73" s="6" t="s">
        <v>48</v>
      </c>
      <c r="J73" s="8">
        <v>25.0</v>
      </c>
      <c r="K73" s="6" t="s">
        <v>53</v>
      </c>
      <c r="L73" s="6" t="s">
        <v>56</v>
      </c>
      <c r="M73" s="6" t="s">
        <v>57</v>
      </c>
      <c r="N73" s="6" t="s">
        <v>58</v>
      </c>
      <c r="O73" s="6" t="s">
        <v>212</v>
      </c>
      <c r="P73" s="8" t="s">
        <v>215</v>
      </c>
      <c r="Q73" s="6" t="s">
        <v>46</v>
      </c>
      <c r="R73" s="6" t="s">
        <v>48</v>
      </c>
      <c r="S73" s="6" t="s">
        <v>48</v>
      </c>
      <c r="T73" s="6" t="s">
        <v>52</v>
      </c>
      <c r="U73" s="5">
        <f t="shared" si="1"/>
        <v>19.34764</v>
      </c>
      <c r="V73" s="5"/>
      <c r="W73" s="5"/>
      <c r="X73" s="5"/>
      <c r="Y73" s="5"/>
      <c r="Z73" s="5"/>
      <c r="AA73" s="5"/>
    </row>
    <row r="74" ht="15.75" customHeight="1">
      <c r="A74" s="6" t="s">
        <v>199</v>
      </c>
      <c r="B74" s="6" t="s">
        <v>208</v>
      </c>
      <c r="C74" s="6" t="s">
        <v>53</v>
      </c>
      <c r="D74" s="6" t="s">
        <v>54</v>
      </c>
      <c r="E74" s="6" t="s">
        <v>209</v>
      </c>
      <c r="F74" s="6" t="s">
        <v>210</v>
      </c>
      <c r="G74" s="7">
        <v>204.16</v>
      </c>
      <c r="H74" s="6" t="s">
        <v>216</v>
      </c>
      <c r="I74" s="6" t="s">
        <v>48</v>
      </c>
      <c r="J74" s="8">
        <v>27.0</v>
      </c>
      <c r="K74" s="6" t="s">
        <v>53</v>
      </c>
      <c r="L74" s="6" t="s">
        <v>56</v>
      </c>
      <c r="M74" s="6" t="s">
        <v>57</v>
      </c>
      <c r="N74" s="6" t="s">
        <v>58</v>
      </c>
      <c r="O74" s="6" t="s">
        <v>212</v>
      </c>
      <c r="P74" s="8" t="s">
        <v>217</v>
      </c>
      <c r="Q74" s="6" t="s">
        <v>46</v>
      </c>
      <c r="R74" s="6" t="s">
        <v>48</v>
      </c>
      <c r="S74" s="6" t="s">
        <v>48</v>
      </c>
      <c r="T74" s="6" t="s">
        <v>52</v>
      </c>
      <c r="U74" s="5">
        <f t="shared" si="1"/>
        <v>19.51352</v>
      </c>
      <c r="V74" s="5"/>
      <c r="W74" s="5"/>
      <c r="X74" s="5"/>
      <c r="Y74" s="5"/>
      <c r="Z74" s="5"/>
      <c r="AA74" s="5"/>
    </row>
    <row r="75" ht="15.75" customHeight="1">
      <c r="A75" s="6" t="s">
        <v>199</v>
      </c>
      <c r="B75" s="6" t="s">
        <v>208</v>
      </c>
      <c r="C75" s="6" t="s">
        <v>62</v>
      </c>
      <c r="D75" s="6" t="s">
        <v>63</v>
      </c>
      <c r="E75" s="6" t="s">
        <v>209</v>
      </c>
      <c r="F75" s="6" t="s">
        <v>210</v>
      </c>
      <c r="G75" s="7">
        <v>83.52</v>
      </c>
      <c r="H75" s="6" t="s">
        <v>218</v>
      </c>
      <c r="I75" s="6" t="s">
        <v>48</v>
      </c>
      <c r="J75" s="8">
        <v>17.0</v>
      </c>
      <c r="K75" s="6" t="s">
        <v>62</v>
      </c>
      <c r="L75" s="6" t="s">
        <v>65</v>
      </c>
      <c r="M75" s="6" t="s">
        <v>66</v>
      </c>
      <c r="N75" s="6" t="s">
        <v>58</v>
      </c>
      <c r="O75" s="6" t="s">
        <v>212</v>
      </c>
      <c r="P75" s="8" t="s">
        <v>215</v>
      </c>
      <c r="Q75" s="6" t="s">
        <v>46</v>
      </c>
      <c r="R75" s="6" t="s">
        <v>48</v>
      </c>
      <c r="S75" s="6" t="s">
        <v>48</v>
      </c>
      <c r="T75" s="6" t="s">
        <v>52</v>
      </c>
      <c r="U75" s="5">
        <f t="shared" si="1"/>
        <v>19.12144</v>
      </c>
      <c r="V75" s="5"/>
      <c r="W75" s="5"/>
      <c r="X75" s="5"/>
      <c r="Y75" s="5"/>
      <c r="Z75" s="5"/>
      <c r="AA75" s="5"/>
    </row>
    <row r="76" ht="15.75" customHeight="1">
      <c r="A76" s="6" t="s">
        <v>199</v>
      </c>
      <c r="B76" s="6" t="s">
        <v>208</v>
      </c>
      <c r="C76" s="6" t="s">
        <v>62</v>
      </c>
      <c r="D76" s="6" t="s">
        <v>54</v>
      </c>
      <c r="E76" s="6" t="s">
        <v>209</v>
      </c>
      <c r="F76" s="6" t="s">
        <v>210</v>
      </c>
      <c r="G76" s="7">
        <v>109.03999999999999</v>
      </c>
      <c r="H76" s="6" t="s">
        <v>219</v>
      </c>
      <c r="I76" s="6" t="s">
        <v>48</v>
      </c>
      <c r="J76" s="8">
        <v>20.0</v>
      </c>
      <c r="K76" s="6" t="s">
        <v>62</v>
      </c>
      <c r="L76" s="6" t="s">
        <v>69</v>
      </c>
      <c r="M76" s="6" t="s">
        <v>70</v>
      </c>
      <c r="N76" s="6" t="s">
        <v>58</v>
      </c>
      <c r="O76" s="6" t="s">
        <v>212</v>
      </c>
      <c r="P76" s="8" t="s">
        <v>217</v>
      </c>
      <c r="Q76" s="6" t="s">
        <v>46</v>
      </c>
      <c r="R76" s="6" t="s">
        <v>48</v>
      </c>
      <c r="S76" s="6" t="s">
        <v>48</v>
      </c>
      <c r="T76" s="6" t="s">
        <v>52</v>
      </c>
      <c r="U76" s="5">
        <f t="shared" si="1"/>
        <v>19.20438</v>
      </c>
      <c r="V76" s="5"/>
      <c r="W76" s="5"/>
      <c r="X76" s="5"/>
      <c r="Y76" s="5"/>
      <c r="Z76" s="5"/>
      <c r="AA76" s="5"/>
    </row>
    <row r="77" ht="15.75" customHeight="1">
      <c r="A77" s="6" t="s">
        <v>199</v>
      </c>
      <c r="B77" s="6" t="s">
        <v>208</v>
      </c>
      <c r="C77" s="6" t="s">
        <v>72</v>
      </c>
      <c r="D77" s="6" t="s">
        <v>63</v>
      </c>
      <c r="E77" s="6" t="s">
        <v>209</v>
      </c>
      <c r="F77" s="6" t="s">
        <v>210</v>
      </c>
      <c r="G77" s="7">
        <v>83.52</v>
      </c>
      <c r="H77" s="6" t="s">
        <v>220</v>
      </c>
      <c r="I77" s="6" t="s">
        <v>48</v>
      </c>
      <c r="J77" s="8">
        <v>22.0</v>
      </c>
      <c r="K77" s="6" t="s">
        <v>74</v>
      </c>
      <c r="L77" s="6" t="s">
        <v>75</v>
      </c>
      <c r="M77" s="6" t="s">
        <v>76</v>
      </c>
      <c r="N77" s="6" t="s">
        <v>58</v>
      </c>
      <c r="O77" s="6" t="s">
        <v>212</v>
      </c>
      <c r="P77" s="8" t="s">
        <v>215</v>
      </c>
      <c r="Q77" s="6" t="s">
        <v>46</v>
      </c>
      <c r="R77" s="6" t="s">
        <v>48</v>
      </c>
      <c r="S77" s="6" t="s">
        <v>48</v>
      </c>
      <c r="T77" s="6" t="s">
        <v>77</v>
      </c>
      <c r="U77" s="5">
        <f t="shared" si="1"/>
        <v>19.12144</v>
      </c>
      <c r="V77" s="5"/>
      <c r="W77" s="5"/>
      <c r="X77" s="5"/>
      <c r="Y77" s="5"/>
      <c r="Z77" s="5"/>
      <c r="AA77" s="5"/>
    </row>
    <row r="78" ht="15.75" customHeight="1">
      <c r="A78" s="6" t="s">
        <v>199</v>
      </c>
      <c r="B78" s="6" t="s">
        <v>221</v>
      </c>
      <c r="C78" s="6" t="s">
        <v>26</v>
      </c>
      <c r="D78" s="6" t="s">
        <v>63</v>
      </c>
      <c r="E78" s="6" t="s">
        <v>222</v>
      </c>
      <c r="F78" s="6" t="s">
        <v>223</v>
      </c>
      <c r="G78" s="7">
        <v>102.08</v>
      </c>
      <c r="H78" s="6" t="s">
        <v>224</v>
      </c>
      <c r="I78" s="6" t="s">
        <v>37</v>
      </c>
      <c r="J78" s="8">
        <v>50.0</v>
      </c>
      <c r="K78" s="6" t="s">
        <v>40</v>
      </c>
      <c r="L78" s="6" t="s">
        <v>42</v>
      </c>
      <c r="M78" s="6" t="s">
        <v>44</v>
      </c>
      <c r="N78" s="6" t="s">
        <v>41</v>
      </c>
      <c r="O78" s="6" t="s">
        <v>225</v>
      </c>
      <c r="P78" s="8" t="s">
        <v>226</v>
      </c>
      <c r="Q78" s="6" t="s">
        <v>46</v>
      </c>
      <c r="R78" s="6" t="s">
        <v>48</v>
      </c>
      <c r="S78" s="6" t="s">
        <v>48</v>
      </c>
      <c r="T78" s="6" t="s">
        <v>52</v>
      </c>
      <c r="U78" s="5">
        <f t="shared" si="1"/>
        <v>19.18176</v>
      </c>
      <c r="V78" s="5"/>
      <c r="W78" s="5"/>
      <c r="X78" s="5"/>
      <c r="Y78" s="5"/>
      <c r="Z78" s="5"/>
      <c r="AA78" s="5"/>
    </row>
    <row r="79" ht="15.75" customHeight="1">
      <c r="A79" s="6" t="s">
        <v>199</v>
      </c>
      <c r="B79" s="6" t="s">
        <v>221</v>
      </c>
      <c r="C79" s="6" t="s">
        <v>26</v>
      </c>
      <c r="D79" s="6" t="s">
        <v>54</v>
      </c>
      <c r="E79" s="6" t="s">
        <v>222</v>
      </c>
      <c r="F79" s="6" t="s">
        <v>223</v>
      </c>
      <c r="G79" s="7">
        <v>121.8</v>
      </c>
      <c r="H79" s="6" t="s">
        <v>227</v>
      </c>
      <c r="I79" s="6" t="s">
        <v>37</v>
      </c>
      <c r="J79" s="8">
        <v>51.0</v>
      </c>
      <c r="K79" s="6" t="s">
        <v>40</v>
      </c>
      <c r="L79" s="6" t="s">
        <v>42</v>
      </c>
      <c r="M79" s="6" t="s">
        <v>44</v>
      </c>
      <c r="N79" s="6" t="s">
        <v>41</v>
      </c>
      <c r="O79" s="6" t="s">
        <v>225</v>
      </c>
      <c r="P79" s="8" t="s">
        <v>228</v>
      </c>
      <c r="Q79" s="6" t="s">
        <v>46</v>
      </c>
      <c r="R79" s="6" t="s">
        <v>48</v>
      </c>
      <c r="S79" s="6" t="s">
        <v>48</v>
      </c>
      <c r="T79" s="6" t="s">
        <v>52</v>
      </c>
      <c r="U79" s="5">
        <f t="shared" si="1"/>
        <v>19.24585</v>
      </c>
      <c r="V79" s="5"/>
      <c r="W79" s="5"/>
      <c r="X79" s="5"/>
      <c r="Y79" s="5"/>
      <c r="Z79" s="5"/>
      <c r="AA79" s="5"/>
    </row>
    <row r="80" ht="15.75" customHeight="1">
      <c r="A80" s="6" t="s">
        <v>199</v>
      </c>
      <c r="B80" s="6" t="s">
        <v>221</v>
      </c>
      <c r="C80" s="6" t="s">
        <v>26</v>
      </c>
      <c r="D80" s="6" t="s">
        <v>27</v>
      </c>
      <c r="E80" s="6" t="s">
        <v>222</v>
      </c>
      <c r="F80" s="6" t="s">
        <v>223</v>
      </c>
      <c r="G80" s="7">
        <v>140.35999999999999</v>
      </c>
      <c r="H80" s="6" t="s">
        <v>229</v>
      </c>
      <c r="I80" s="6" t="s">
        <v>37</v>
      </c>
      <c r="J80" s="8">
        <v>52.0</v>
      </c>
      <c r="K80" s="6" t="s">
        <v>40</v>
      </c>
      <c r="L80" s="6" t="s">
        <v>42</v>
      </c>
      <c r="M80" s="6" t="s">
        <v>44</v>
      </c>
      <c r="N80" s="6" t="s">
        <v>41</v>
      </c>
      <c r="O80" s="6" t="s">
        <v>225</v>
      </c>
      <c r="P80" s="8" t="s">
        <v>230</v>
      </c>
      <c r="Q80" s="6" t="s">
        <v>46</v>
      </c>
      <c r="R80" s="6" t="s">
        <v>48</v>
      </c>
      <c r="S80" s="6" t="s">
        <v>48</v>
      </c>
      <c r="T80" s="6" t="s">
        <v>52</v>
      </c>
      <c r="U80" s="5">
        <f t="shared" si="1"/>
        <v>19.30617</v>
      </c>
      <c r="V80" s="5"/>
      <c r="W80" s="5"/>
      <c r="X80" s="5"/>
      <c r="Y80" s="5"/>
      <c r="Z80" s="5"/>
      <c r="AA80" s="5"/>
    </row>
    <row r="81" ht="15.75" customHeight="1">
      <c r="A81" s="6" t="s">
        <v>199</v>
      </c>
      <c r="B81" s="6" t="s">
        <v>221</v>
      </c>
      <c r="C81" s="6" t="s">
        <v>53</v>
      </c>
      <c r="D81" s="6" t="s">
        <v>54</v>
      </c>
      <c r="E81" s="6" t="s">
        <v>222</v>
      </c>
      <c r="F81" s="6" t="s">
        <v>223</v>
      </c>
      <c r="G81" s="7">
        <v>191.39999999999998</v>
      </c>
      <c r="H81" s="6" t="s">
        <v>231</v>
      </c>
      <c r="I81" s="6" t="s">
        <v>48</v>
      </c>
      <c r="J81" s="8">
        <v>59.0</v>
      </c>
      <c r="K81" s="6" t="s">
        <v>53</v>
      </c>
      <c r="L81" s="6" t="s">
        <v>56</v>
      </c>
      <c r="M81" s="6" t="s">
        <v>57</v>
      </c>
      <c r="N81" s="6" t="s">
        <v>58</v>
      </c>
      <c r="O81" s="6" t="s">
        <v>225</v>
      </c>
      <c r="P81" s="8" t="s">
        <v>232</v>
      </c>
      <c r="Q81" s="6" t="s">
        <v>46</v>
      </c>
      <c r="R81" s="6" t="s">
        <v>48</v>
      </c>
      <c r="S81" s="6" t="s">
        <v>48</v>
      </c>
      <c r="T81" s="6" t="s">
        <v>52</v>
      </c>
      <c r="U81" s="5">
        <f t="shared" si="1"/>
        <v>19.47205</v>
      </c>
      <c r="V81" s="5"/>
      <c r="W81" s="5"/>
      <c r="X81" s="5"/>
      <c r="Y81" s="5"/>
      <c r="Z81" s="5"/>
      <c r="AA81" s="5"/>
    </row>
    <row r="82" ht="15.75" customHeight="1">
      <c r="A82" s="6" t="s">
        <v>199</v>
      </c>
      <c r="B82" s="6" t="s">
        <v>221</v>
      </c>
      <c r="C82" s="6" t="s">
        <v>53</v>
      </c>
      <c r="D82" s="6" t="s">
        <v>27</v>
      </c>
      <c r="E82" s="6" t="s">
        <v>222</v>
      </c>
      <c r="F82" s="6" t="s">
        <v>223</v>
      </c>
      <c r="G82" s="7">
        <v>223.88</v>
      </c>
      <c r="H82" s="6" t="s">
        <v>233</v>
      </c>
      <c r="I82" s="6" t="s">
        <v>48</v>
      </c>
      <c r="J82" s="8">
        <v>60.0</v>
      </c>
      <c r="K82" s="6" t="s">
        <v>53</v>
      </c>
      <c r="L82" s="6" t="s">
        <v>56</v>
      </c>
      <c r="M82" s="6" t="s">
        <v>57</v>
      </c>
      <c r="N82" s="6" t="s">
        <v>58</v>
      </c>
      <c r="O82" s="6" t="s">
        <v>225</v>
      </c>
      <c r="P82" s="8" t="s">
        <v>234</v>
      </c>
      <c r="Q82" s="6" t="s">
        <v>46</v>
      </c>
      <c r="R82" s="6" t="s">
        <v>48</v>
      </c>
      <c r="S82" s="6" t="s">
        <v>48</v>
      </c>
      <c r="T82" s="6" t="s">
        <v>52</v>
      </c>
      <c r="U82" s="5">
        <f t="shared" si="1"/>
        <v>19.57761</v>
      </c>
      <c r="V82" s="5"/>
      <c r="W82" s="5"/>
      <c r="X82" s="5"/>
      <c r="Y82" s="5"/>
      <c r="Z82" s="5"/>
      <c r="AA82" s="5"/>
    </row>
    <row r="83" ht="15.75" customHeight="1">
      <c r="A83" s="6" t="s">
        <v>199</v>
      </c>
      <c r="B83" s="6" t="s">
        <v>221</v>
      </c>
      <c r="C83" s="6" t="s">
        <v>62</v>
      </c>
      <c r="D83" s="6" t="s">
        <v>63</v>
      </c>
      <c r="E83" s="6" t="s">
        <v>222</v>
      </c>
      <c r="F83" s="6" t="s">
        <v>223</v>
      </c>
      <c r="G83" s="7">
        <v>83.52</v>
      </c>
      <c r="H83" s="6" t="s">
        <v>135</v>
      </c>
      <c r="I83" s="6" t="s">
        <v>48</v>
      </c>
      <c r="J83" s="8">
        <v>40.0</v>
      </c>
      <c r="K83" s="6" t="s">
        <v>62</v>
      </c>
      <c r="L83" s="6" t="s">
        <v>65</v>
      </c>
      <c r="M83" s="6" t="s">
        <v>66</v>
      </c>
      <c r="N83" s="6" t="s">
        <v>58</v>
      </c>
      <c r="O83" s="6" t="s">
        <v>225</v>
      </c>
      <c r="P83" s="8" t="s">
        <v>235</v>
      </c>
      <c r="Q83" s="6" t="s">
        <v>46</v>
      </c>
      <c r="R83" s="6" t="s">
        <v>48</v>
      </c>
      <c r="S83" s="6" t="s">
        <v>48</v>
      </c>
      <c r="T83" s="6" t="s">
        <v>52</v>
      </c>
      <c r="U83" s="5">
        <f t="shared" si="1"/>
        <v>19.12144</v>
      </c>
      <c r="V83" s="5"/>
      <c r="W83" s="5"/>
      <c r="X83" s="5"/>
      <c r="Y83" s="5"/>
      <c r="Z83" s="5"/>
      <c r="AA83" s="5"/>
    </row>
    <row r="84" ht="15.75" customHeight="1">
      <c r="A84" s="6" t="s">
        <v>199</v>
      </c>
      <c r="B84" s="6" t="s">
        <v>221</v>
      </c>
      <c r="C84" s="6" t="s">
        <v>62</v>
      </c>
      <c r="D84" s="6" t="s">
        <v>54</v>
      </c>
      <c r="E84" s="6" t="s">
        <v>222</v>
      </c>
      <c r="F84" s="6" t="s">
        <v>223</v>
      </c>
      <c r="G84" s="7">
        <v>109.03999999999999</v>
      </c>
      <c r="H84" s="6" t="s">
        <v>175</v>
      </c>
      <c r="I84" s="6" t="s">
        <v>48</v>
      </c>
      <c r="J84" s="8">
        <v>41.0</v>
      </c>
      <c r="K84" s="6" t="s">
        <v>62</v>
      </c>
      <c r="L84" s="6" t="s">
        <v>69</v>
      </c>
      <c r="M84" s="6" t="s">
        <v>70</v>
      </c>
      <c r="N84" s="6" t="s">
        <v>58</v>
      </c>
      <c r="O84" s="6" t="s">
        <v>225</v>
      </c>
      <c r="P84" s="8" t="s">
        <v>232</v>
      </c>
      <c r="Q84" s="6" t="s">
        <v>46</v>
      </c>
      <c r="R84" s="6" t="s">
        <v>48</v>
      </c>
      <c r="S84" s="6" t="s">
        <v>48</v>
      </c>
      <c r="T84" s="6" t="s">
        <v>52</v>
      </c>
      <c r="U84" s="5">
        <f t="shared" si="1"/>
        <v>19.20438</v>
      </c>
      <c r="V84" s="5"/>
      <c r="W84" s="5"/>
      <c r="X84" s="5"/>
      <c r="Y84" s="5"/>
      <c r="Z84" s="5"/>
      <c r="AA84" s="5"/>
    </row>
    <row r="85" ht="15.75" customHeight="1">
      <c r="A85" s="6" t="s">
        <v>199</v>
      </c>
      <c r="B85" s="6" t="s">
        <v>221</v>
      </c>
      <c r="C85" s="6" t="s">
        <v>62</v>
      </c>
      <c r="D85" s="6" t="s">
        <v>27</v>
      </c>
      <c r="E85" s="6" t="s">
        <v>222</v>
      </c>
      <c r="F85" s="6" t="s">
        <v>223</v>
      </c>
      <c r="G85" s="7">
        <v>121.8</v>
      </c>
      <c r="H85" s="6" t="s">
        <v>236</v>
      </c>
      <c r="I85" s="6" t="s">
        <v>48</v>
      </c>
      <c r="J85" s="8">
        <v>42.0</v>
      </c>
      <c r="K85" s="6" t="s">
        <v>62</v>
      </c>
      <c r="L85" s="6" t="s">
        <v>69</v>
      </c>
      <c r="M85" s="6" t="s">
        <v>70</v>
      </c>
      <c r="N85" s="6" t="s">
        <v>58</v>
      </c>
      <c r="O85" s="6" t="s">
        <v>225</v>
      </c>
      <c r="P85" s="8" t="s">
        <v>234</v>
      </c>
      <c r="Q85" s="6" t="s">
        <v>46</v>
      </c>
      <c r="R85" s="6" t="s">
        <v>48</v>
      </c>
      <c r="S85" s="6" t="s">
        <v>48</v>
      </c>
      <c r="T85" s="6" t="s">
        <v>52</v>
      </c>
      <c r="U85" s="5">
        <f t="shared" si="1"/>
        <v>19.24585</v>
      </c>
      <c r="V85" s="5"/>
      <c r="W85" s="5"/>
      <c r="X85" s="5"/>
      <c r="Y85" s="5"/>
      <c r="Z85" s="5"/>
      <c r="AA85" s="5"/>
    </row>
    <row r="86" ht="15.75" customHeight="1">
      <c r="A86" s="6" t="s">
        <v>199</v>
      </c>
      <c r="B86" s="6" t="s">
        <v>221</v>
      </c>
      <c r="C86" s="6" t="s">
        <v>72</v>
      </c>
      <c r="D86" s="6" t="s">
        <v>63</v>
      </c>
      <c r="E86" s="6" t="s">
        <v>222</v>
      </c>
      <c r="F86" s="6" t="s">
        <v>223</v>
      </c>
      <c r="G86" s="7">
        <v>83.52</v>
      </c>
      <c r="H86" s="6" t="s">
        <v>237</v>
      </c>
      <c r="I86" s="6" t="s">
        <v>48</v>
      </c>
      <c r="J86" s="8">
        <v>1897.0</v>
      </c>
      <c r="K86" s="6" t="s">
        <v>74</v>
      </c>
      <c r="L86" s="6" t="s">
        <v>75</v>
      </c>
      <c r="M86" s="6" t="s">
        <v>76</v>
      </c>
      <c r="N86" s="6" t="s">
        <v>58</v>
      </c>
      <c r="O86" s="6" t="s">
        <v>225</v>
      </c>
      <c r="P86" s="8" t="s">
        <v>235</v>
      </c>
      <c r="Q86" s="6" t="s">
        <v>46</v>
      </c>
      <c r="R86" s="6" t="s">
        <v>48</v>
      </c>
      <c r="S86" s="6" t="s">
        <v>48</v>
      </c>
      <c r="T86" s="6" t="s">
        <v>77</v>
      </c>
      <c r="U86" s="5">
        <f t="shared" si="1"/>
        <v>19.12144</v>
      </c>
      <c r="V86" s="5"/>
      <c r="W86" s="5"/>
      <c r="X86" s="5"/>
      <c r="Y86" s="5"/>
      <c r="Z86" s="5"/>
      <c r="AA86" s="5"/>
    </row>
    <row r="87" ht="15.75" customHeight="1">
      <c r="A87" s="6" t="s">
        <v>199</v>
      </c>
      <c r="B87" s="6" t="s">
        <v>221</v>
      </c>
      <c r="C87" s="6" t="s">
        <v>72</v>
      </c>
      <c r="D87" s="6" t="s">
        <v>54</v>
      </c>
      <c r="E87" s="6" t="s">
        <v>222</v>
      </c>
      <c r="F87" s="6" t="s">
        <v>223</v>
      </c>
      <c r="G87" s="7">
        <v>109.03999999999999</v>
      </c>
      <c r="H87" s="6" t="s">
        <v>238</v>
      </c>
      <c r="I87" s="6" t="s">
        <v>48</v>
      </c>
      <c r="J87" s="8">
        <v>4601.0</v>
      </c>
      <c r="K87" s="6" t="s">
        <v>74</v>
      </c>
      <c r="L87" s="6" t="s">
        <v>75</v>
      </c>
      <c r="M87" s="6" t="s">
        <v>76</v>
      </c>
      <c r="N87" s="6" t="s">
        <v>58</v>
      </c>
      <c r="O87" s="6" t="s">
        <v>225</v>
      </c>
      <c r="P87" s="8" t="s">
        <v>232</v>
      </c>
      <c r="Q87" s="6" t="s">
        <v>46</v>
      </c>
      <c r="R87" s="6" t="s">
        <v>48</v>
      </c>
      <c r="S87" s="6" t="s">
        <v>48</v>
      </c>
      <c r="T87" s="6" t="s">
        <v>77</v>
      </c>
      <c r="U87" s="5">
        <f t="shared" si="1"/>
        <v>19.20438</v>
      </c>
      <c r="V87" s="5"/>
      <c r="W87" s="5"/>
      <c r="X87" s="5"/>
      <c r="Y87" s="5"/>
      <c r="Z87" s="5"/>
      <c r="AA87" s="5"/>
    </row>
    <row r="88" ht="15.75" customHeight="1">
      <c r="A88" s="6" t="s">
        <v>199</v>
      </c>
      <c r="B88" s="6" t="s">
        <v>221</v>
      </c>
      <c r="C88" s="6" t="s">
        <v>72</v>
      </c>
      <c r="D88" s="6" t="s">
        <v>27</v>
      </c>
      <c r="E88" s="6" t="s">
        <v>222</v>
      </c>
      <c r="F88" s="6" t="s">
        <v>223</v>
      </c>
      <c r="G88" s="7">
        <v>121.8</v>
      </c>
      <c r="H88" s="6" t="s">
        <v>239</v>
      </c>
      <c r="I88" s="6" t="s">
        <v>48</v>
      </c>
      <c r="J88" s="8">
        <v>4602.0</v>
      </c>
      <c r="K88" s="6" t="s">
        <v>74</v>
      </c>
      <c r="L88" s="6" t="s">
        <v>75</v>
      </c>
      <c r="M88" s="6" t="s">
        <v>76</v>
      </c>
      <c r="N88" s="6" t="s">
        <v>58</v>
      </c>
      <c r="O88" s="6" t="s">
        <v>225</v>
      </c>
      <c r="P88" s="8" t="s">
        <v>234</v>
      </c>
      <c r="Q88" s="6" t="s">
        <v>46</v>
      </c>
      <c r="R88" s="6" t="s">
        <v>48</v>
      </c>
      <c r="S88" s="6" t="s">
        <v>48</v>
      </c>
      <c r="T88" s="6" t="s">
        <v>77</v>
      </c>
      <c r="U88" s="5">
        <f t="shared" si="1"/>
        <v>19.24585</v>
      </c>
      <c r="V88" s="5"/>
      <c r="W88" s="5"/>
      <c r="X88" s="5"/>
      <c r="Y88" s="5"/>
      <c r="Z88" s="5"/>
      <c r="AA88" s="5"/>
    </row>
    <row r="89" ht="15.75" customHeight="1">
      <c r="A89" s="6" t="s">
        <v>199</v>
      </c>
      <c r="B89" s="6" t="s">
        <v>240</v>
      </c>
      <c r="C89" s="6" t="s">
        <v>26</v>
      </c>
      <c r="D89" s="6" t="s">
        <v>63</v>
      </c>
      <c r="E89" s="6" t="s">
        <v>241</v>
      </c>
      <c r="F89" s="6" t="s">
        <v>242</v>
      </c>
      <c r="G89" s="7">
        <v>102.08</v>
      </c>
      <c r="H89" s="6" t="s">
        <v>243</v>
      </c>
      <c r="I89" s="6" t="s">
        <v>37</v>
      </c>
      <c r="J89" s="8">
        <v>134.0</v>
      </c>
      <c r="K89" s="6" t="s">
        <v>40</v>
      </c>
      <c r="L89" s="6" t="s">
        <v>42</v>
      </c>
      <c r="M89" s="6" t="s">
        <v>44</v>
      </c>
      <c r="N89" s="6" t="s">
        <v>41</v>
      </c>
      <c r="O89" s="6" t="s">
        <v>244</v>
      </c>
      <c r="P89" s="8" t="s">
        <v>245</v>
      </c>
      <c r="Q89" s="6" t="s">
        <v>46</v>
      </c>
      <c r="R89" s="6" t="s">
        <v>48</v>
      </c>
      <c r="S89" s="6" t="s">
        <v>48</v>
      </c>
      <c r="T89" s="6" t="s">
        <v>52</v>
      </c>
      <c r="U89" s="5">
        <f t="shared" si="1"/>
        <v>19.18176</v>
      </c>
      <c r="V89" s="5"/>
      <c r="W89" s="5"/>
      <c r="X89" s="5"/>
      <c r="Y89" s="5"/>
      <c r="Z89" s="5"/>
      <c r="AA89" s="5"/>
    </row>
    <row r="90" ht="15.75" customHeight="1">
      <c r="A90" s="6" t="s">
        <v>199</v>
      </c>
      <c r="B90" s="6" t="s">
        <v>240</v>
      </c>
      <c r="C90" s="6" t="s">
        <v>26</v>
      </c>
      <c r="D90" s="6" t="s">
        <v>54</v>
      </c>
      <c r="E90" s="6" t="s">
        <v>241</v>
      </c>
      <c r="F90" s="6" t="s">
        <v>242</v>
      </c>
      <c r="G90" s="7">
        <v>121.8</v>
      </c>
      <c r="H90" s="6" t="s">
        <v>246</v>
      </c>
      <c r="I90" s="6" t="s">
        <v>37</v>
      </c>
      <c r="J90" s="8">
        <v>135.0</v>
      </c>
      <c r="K90" s="6" t="s">
        <v>40</v>
      </c>
      <c r="L90" s="6" t="s">
        <v>42</v>
      </c>
      <c r="M90" s="6" t="s">
        <v>44</v>
      </c>
      <c r="N90" s="6" t="s">
        <v>41</v>
      </c>
      <c r="O90" s="6" t="s">
        <v>244</v>
      </c>
      <c r="P90" s="8" t="s">
        <v>247</v>
      </c>
      <c r="Q90" s="6" t="s">
        <v>46</v>
      </c>
      <c r="R90" s="6" t="s">
        <v>48</v>
      </c>
      <c r="S90" s="6" t="s">
        <v>48</v>
      </c>
      <c r="T90" s="6" t="s">
        <v>52</v>
      </c>
      <c r="U90" s="5">
        <f t="shared" si="1"/>
        <v>19.24585</v>
      </c>
      <c r="V90" s="5"/>
      <c r="W90" s="5"/>
      <c r="X90" s="5"/>
      <c r="Y90" s="5"/>
      <c r="Z90" s="5"/>
      <c r="AA90" s="5"/>
    </row>
    <row r="91" ht="15.75" customHeight="1">
      <c r="A91" s="6" t="s">
        <v>199</v>
      </c>
      <c r="B91" s="6" t="s">
        <v>240</v>
      </c>
      <c r="C91" s="6" t="s">
        <v>26</v>
      </c>
      <c r="D91" s="6" t="s">
        <v>27</v>
      </c>
      <c r="E91" s="6" t="s">
        <v>241</v>
      </c>
      <c r="F91" s="6" t="s">
        <v>242</v>
      </c>
      <c r="G91" s="7">
        <v>140.35999999999999</v>
      </c>
      <c r="H91" s="6" t="s">
        <v>248</v>
      </c>
      <c r="I91" s="6" t="s">
        <v>37</v>
      </c>
      <c r="J91" s="8">
        <v>136.0</v>
      </c>
      <c r="K91" s="6" t="s">
        <v>40</v>
      </c>
      <c r="L91" s="6" t="s">
        <v>42</v>
      </c>
      <c r="M91" s="6" t="s">
        <v>44</v>
      </c>
      <c r="N91" s="6" t="s">
        <v>41</v>
      </c>
      <c r="O91" s="6" t="s">
        <v>244</v>
      </c>
      <c r="P91" s="8" t="s">
        <v>249</v>
      </c>
      <c r="Q91" s="6" t="s">
        <v>46</v>
      </c>
      <c r="R91" s="6" t="s">
        <v>48</v>
      </c>
      <c r="S91" s="6" t="s">
        <v>48</v>
      </c>
      <c r="T91" s="6" t="s">
        <v>52</v>
      </c>
      <c r="U91" s="5">
        <f t="shared" si="1"/>
        <v>19.30617</v>
      </c>
      <c r="V91" s="5"/>
      <c r="W91" s="5"/>
      <c r="X91" s="5"/>
      <c r="Y91" s="5"/>
      <c r="Z91" s="5"/>
      <c r="AA91" s="5"/>
    </row>
    <row r="92" ht="15.75" customHeight="1">
      <c r="A92" s="6" t="s">
        <v>199</v>
      </c>
      <c r="B92" s="6" t="s">
        <v>240</v>
      </c>
      <c r="C92" s="6" t="s">
        <v>26</v>
      </c>
      <c r="D92" s="6" t="s">
        <v>129</v>
      </c>
      <c r="E92" s="6" t="s">
        <v>241</v>
      </c>
      <c r="F92" s="6" t="s">
        <v>242</v>
      </c>
      <c r="G92" s="7">
        <v>165.88</v>
      </c>
      <c r="H92" s="6" t="s">
        <v>123</v>
      </c>
      <c r="I92" s="6" t="s">
        <v>37</v>
      </c>
      <c r="J92" s="8">
        <v>137.0</v>
      </c>
      <c r="K92" s="6" t="s">
        <v>40</v>
      </c>
      <c r="L92" s="6" t="s">
        <v>42</v>
      </c>
      <c r="M92" s="6" t="s">
        <v>44</v>
      </c>
      <c r="N92" s="6" t="s">
        <v>41</v>
      </c>
      <c r="O92" s="6" t="s">
        <v>244</v>
      </c>
      <c r="P92" s="8" t="s">
        <v>250</v>
      </c>
      <c r="Q92" s="6" t="s">
        <v>46</v>
      </c>
      <c r="R92" s="6" t="s">
        <v>48</v>
      </c>
      <c r="S92" s="6" t="s">
        <v>48</v>
      </c>
      <c r="T92" s="6" t="s">
        <v>52</v>
      </c>
      <c r="U92" s="5">
        <f t="shared" si="1"/>
        <v>19.38911</v>
      </c>
      <c r="V92" s="5"/>
      <c r="W92" s="5"/>
      <c r="X92" s="5"/>
      <c r="Y92" s="5"/>
      <c r="Z92" s="5"/>
      <c r="AA92" s="5"/>
    </row>
    <row r="93" ht="15.75" customHeight="1">
      <c r="A93" s="6" t="s">
        <v>199</v>
      </c>
      <c r="B93" s="6" t="s">
        <v>240</v>
      </c>
      <c r="C93" s="6" t="s">
        <v>53</v>
      </c>
      <c r="D93" s="6" t="s">
        <v>63</v>
      </c>
      <c r="E93" s="6" t="s">
        <v>241</v>
      </c>
      <c r="F93" s="6" t="s">
        <v>242</v>
      </c>
      <c r="G93" s="7">
        <v>153.11999999999998</v>
      </c>
      <c r="H93" s="6" t="s">
        <v>251</v>
      </c>
      <c r="I93" s="6" t="s">
        <v>48</v>
      </c>
      <c r="J93" s="8">
        <v>141.0</v>
      </c>
      <c r="K93" s="6" t="s">
        <v>53</v>
      </c>
      <c r="L93" s="6" t="s">
        <v>56</v>
      </c>
      <c r="M93" s="6" t="s">
        <v>57</v>
      </c>
      <c r="N93" s="6" t="s">
        <v>58</v>
      </c>
      <c r="O93" s="6" t="s">
        <v>244</v>
      </c>
      <c r="P93" s="8" t="s">
        <v>252</v>
      </c>
      <c r="Q93" s="6" t="s">
        <v>46</v>
      </c>
      <c r="R93" s="6" t="s">
        <v>48</v>
      </c>
      <c r="S93" s="6" t="s">
        <v>48</v>
      </c>
      <c r="T93" s="6" t="s">
        <v>52</v>
      </c>
      <c r="U93" s="5">
        <f t="shared" si="1"/>
        <v>19.34764</v>
      </c>
      <c r="V93" s="5"/>
      <c r="W93" s="5"/>
      <c r="X93" s="5"/>
      <c r="Y93" s="5"/>
      <c r="Z93" s="5"/>
      <c r="AA93" s="5"/>
    </row>
    <row r="94" ht="15.75" customHeight="1">
      <c r="A94" s="6" t="s">
        <v>199</v>
      </c>
      <c r="B94" s="6" t="s">
        <v>240</v>
      </c>
      <c r="C94" s="6" t="s">
        <v>53</v>
      </c>
      <c r="D94" s="6" t="s">
        <v>54</v>
      </c>
      <c r="E94" s="6" t="s">
        <v>241</v>
      </c>
      <c r="F94" s="6" t="s">
        <v>242</v>
      </c>
      <c r="G94" s="7">
        <v>191.39999999999998</v>
      </c>
      <c r="H94" s="6" t="s">
        <v>253</v>
      </c>
      <c r="I94" s="6" t="s">
        <v>48</v>
      </c>
      <c r="J94" s="8">
        <v>142.0</v>
      </c>
      <c r="K94" s="6" t="s">
        <v>53</v>
      </c>
      <c r="L94" s="6" t="s">
        <v>56</v>
      </c>
      <c r="M94" s="6" t="s">
        <v>57</v>
      </c>
      <c r="N94" s="6" t="s">
        <v>58</v>
      </c>
      <c r="O94" s="6" t="s">
        <v>244</v>
      </c>
      <c r="P94" s="8" t="s">
        <v>254</v>
      </c>
      <c r="Q94" s="6" t="s">
        <v>46</v>
      </c>
      <c r="R94" s="6" t="s">
        <v>48</v>
      </c>
      <c r="S94" s="6" t="s">
        <v>48</v>
      </c>
      <c r="T94" s="6" t="s">
        <v>52</v>
      </c>
      <c r="U94" s="5">
        <f t="shared" si="1"/>
        <v>19.47205</v>
      </c>
      <c r="V94" s="5"/>
      <c r="W94" s="5"/>
      <c r="X94" s="5"/>
      <c r="Y94" s="5"/>
      <c r="Z94" s="5"/>
      <c r="AA94" s="5"/>
    </row>
    <row r="95" ht="15.75" customHeight="1">
      <c r="A95" s="6" t="s">
        <v>199</v>
      </c>
      <c r="B95" s="6" t="s">
        <v>240</v>
      </c>
      <c r="C95" s="6" t="s">
        <v>53</v>
      </c>
      <c r="D95" s="6" t="s">
        <v>27</v>
      </c>
      <c r="E95" s="6" t="s">
        <v>241</v>
      </c>
      <c r="F95" s="6" t="s">
        <v>242</v>
      </c>
      <c r="G95" s="7">
        <v>223.88</v>
      </c>
      <c r="H95" s="6" t="s">
        <v>255</v>
      </c>
      <c r="I95" s="6" t="s">
        <v>48</v>
      </c>
      <c r="J95" s="8">
        <v>143.0</v>
      </c>
      <c r="K95" s="6" t="s">
        <v>53</v>
      </c>
      <c r="L95" s="6" t="s">
        <v>56</v>
      </c>
      <c r="M95" s="6" t="s">
        <v>57</v>
      </c>
      <c r="N95" s="6" t="s">
        <v>58</v>
      </c>
      <c r="O95" s="6" t="s">
        <v>244</v>
      </c>
      <c r="P95" s="8" t="s">
        <v>256</v>
      </c>
      <c r="Q95" s="6" t="s">
        <v>46</v>
      </c>
      <c r="R95" s="6" t="s">
        <v>48</v>
      </c>
      <c r="S95" s="6" t="s">
        <v>48</v>
      </c>
      <c r="T95" s="6" t="s">
        <v>52</v>
      </c>
      <c r="U95" s="5">
        <f t="shared" si="1"/>
        <v>19.57761</v>
      </c>
      <c r="V95" s="5"/>
      <c r="W95" s="5"/>
      <c r="X95" s="5"/>
      <c r="Y95" s="5"/>
      <c r="Z95" s="5"/>
      <c r="AA95" s="5"/>
    </row>
    <row r="96" ht="15.75" customHeight="1">
      <c r="A96" s="6" t="s">
        <v>199</v>
      </c>
      <c r="B96" s="6" t="s">
        <v>240</v>
      </c>
      <c r="C96" s="6" t="s">
        <v>53</v>
      </c>
      <c r="D96" s="6" t="s">
        <v>129</v>
      </c>
      <c r="E96" s="6" t="s">
        <v>241</v>
      </c>
      <c r="F96" s="6" t="s">
        <v>242</v>
      </c>
      <c r="G96" s="7">
        <v>319.0</v>
      </c>
      <c r="H96" s="6" t="s">
        <v>257</v>
      </c>
      <c r="I96" s="6" t="s">
        <v>48</v>
      </c>
      <c r="J96" s="8">
        <v>144.0</v>
      </c>
      <c r="K96" s="6" t="s">
        <v>53</v>
      </c>
      <c r="L96" s="6" t="s">
        <v>56</v>
      </c>
      <c r="M96" s="6" t="s">
        <v>57</v>
      </c>
      <c r="N96" s="6" t="s">
        <v>58</v>
      </c>
      <c r="O96" s="6" t="s">
        <v>244</v>
      </c>
      <c r="P96" s="8" t="s">
        <v>258</v>
      </c>
      <c r="Q96" s="6" t="s">
        <v>46</v>
      </c>
      <c r="R96" s="6" t="s">
        <v>48</v>
      </c>
      <c r="S96" s="6" t="s">
        <v>48</v>
      </c>
      <c r="T96" s="6" t="s">
        <v>52</v>
      </c>
      <c r="U96" s="5">
        <f t="shared" si="1"/>
        <v>19.88675</v>
      </c>
      <c r="V96" s="5"/>
      <c r="W96" s="5"/>
      <c r="X96" s="5"/>
      <c r="Y96" s="5"/>
      <c r="Z96" s="5"/>
      <c r="AA96" s="5"/>
    </row>
    <row r="97" ht="15.75" customHeight="1">
      <c r="A97" s="6" t="s">
        <v>199</v>
      </c>
      <c r="B97" s="6" t="s">
        <v>240</v>
      </c>
      <c r="C97" s="6" t="s">
        <v>62</v>
      </c>
      <c r="D97" s="6" t="s">
        <v>63</v>
      </c>
      <c r="E97" s="6" t="s">
        <v>241</v>
      </c>
      <c r="F97" s="6" t="s">
        <v>242</v>
      </c>
      <c r="G97" s="7">
        <v>83.52</v>
      </c>
      <c r="H97" s="6" t="s">
        <v>259</v>
      </c>
      <c r="I97" s="6" t="s">
        <v>48</v>
      </c>
      <c r="J97" s="8">
        <v>125.0</v>
      </c>
      <c r="K97" s="6" t="s">
        <v>62</v>
      </c>
      <c r="L97" s="6" t="s">
        <v>65</v>
      </c>
      <c r="M97" s="6" t="s">
        <v>66</v>
      </c>
      <c r="N97" s="6" t="s">
        <v>58</v>
      </c>
      <c r="O97" s="6" t="s">
        <v>244</v>
      </c>
      <c r="P97" s="8" t="s">
        <v>252</v>
      </c>
      <c r="Q97" s="6" t="s">
        <v>46</v>
      </c>
      <c r="R97" s="6" t="s">
        <v>48</v>
      </c>
      <c r="S97" s="6" t="s">
        <v>48</v>
      </c>
      <c r="T97" s="6" t="s">
        <v>52</v>
      </c>
      <c r="U97" s="5">
        <f t="shared" si="1"/>
        <v>19.12144</v>
      </c>
      <c r="V97" s="5"/>
      <c r="W97" s="5"/>
      <c r="X97" s="5"/>
      <c r="Y97" s="5"/>
      <c r="Z97" s="5"/>
      <c r="AA97" s="5"/>
    </row>
    <row r="98" ht="15.75" customHeight="1">
      <c r="A98" s="6" t="s">
        <v>199</v>
      </c>
      <c r="B98" s="6" t="s">
        <v>240</v>
      </c>
      <c r="C98" s="6" t="s">
        <v>62</v>
      </c>
      <c r="D98" s="6" t="s">
        <v>54</v>
      </c>
      <c r="E98" s="6" t="s">
        <v>241</v>
      </c>
      <c r="F98" s="6" t="s">
        <v>242</v>
      </c>
      <c r="G98" s="7">
        <v>109.03999999999999</v>
      </c>
      <c r="H98" s="6" t="s">
        <v>102</v>
      </c>
      <c r="I98" s="6" t="s">
        <v>48</v>
      </c>
      <c r="J98" s="8">
        <v>126.0</v>
      </c>
      <c r="K98" s="6" t="s">
        <v>62</v>
      </c>
      <c r="L98" s="6" t="s">
        <v>69</v>
      </c>
      <c r="M98" s="6" t="s">
        <v>70</v>
      </c>
      <c r="N98" s="6" t="s">
        <v>58</v>
      </c>
      <c r="O98" s="6" t="s">
        <v>244</v>
      </c>
      <c r="P98" s="8" t="s">
        <v>254</v>
      </c>
      <c r="Q98" s="6" t="s">
        <v>46</v>
      </c>
      <c r="R98" s="6" t="s">
        <v>48</v>
      </c>
      <c r="S98" s="6" t="s">
        <v>48</v>
      </c>
      <c r="T98" s="6" t="s">
        <v>52</v>
      </c>
      <c r="U98" s="5">
        <f t="shared" si="1"/>
        <v>19.20438</v>
      </c>
      <c r="V98" s="5"/>
      <c r="W98" s="5"/>
      <c r="X98" s="5"/>
      <c r="Y98" s="5"/>
      <c r="Z98" s="5"/>
      <c r="AA98" s="5"/>
    </row>
    <row r="99" ht="15.75" customHeight="1">
      <c r="A99" s="6" t="s">
        <v>199</v>
      </c>
      <c r="B99" s="6" t="s">
        <v>240</v>
      </c>
      <c r="C99" s="6" t="s">
        <v>62</v>
      </c>
      <c r="D99" s="6" t="s">
        <v>27</v>
      </c>
      <c r="E99" s="6" t="s">
        <v>241</v>
      </c>
      <c r="F99" s="6" t="s">
        <v>242</v>
      </c>
      <c r="G99" s="7">
        <v>121.8</v>
      </c>
      <c r="H99" s="6" t="s">
        <v>260</v>
      </c>
      <c r="I99" s="6" t="s">
        <v>48</v>
      </c>
      <c r="J99" s="8">
        <v>127.0</v>
      </c>
      <c r="K99" s="6" t="s">
        <v>62</v>
      </c>
      <c r="L99" s="6" t="s">
        <v>69</v>
      </c>
      <c r="M99" s="6" t="s">
        <v>70</v>
      </c>
      <c r="N99" s="6" t="s">
        <v>58</v>
      </c>
      <c r="O99" s="6" t="s">
        <v>244</v>
      </c>
      <c r="P99" s="8" t="s">
        <v>256</v>
      </c>
      <c r="Q99" s="6" t="s">
        <v>46</v>
      </c>
      <c r="R99" s="6" t="s">
        <v>48</v>
      </c>
      <c r="S99" s="6" t="s">
        <v>48</v>
      </c>
      <c r="T99" s="6" t="s">
        <v>52</v>
      </c>
      <c r="U99" s="5">
        <f t="shared" si="1"/>
        <v>19.24585</v>
      </c>
      <c r="V99" s="5"/>
      <c r="W99" s="5"/>
      <c r="X99" s="5"/>
      <c r="Y99" s="5"/>
      <c r="Z99" s="5"/>
      <c r="AA99" s="5"/>
    </row>
    <row r="100" ht="15.75" customHeight="1">
      <c r="A100" s="6" t="s">
        <v>199</v>
      </c>
      <c r="B100" s="6" t="s">
        <v>240</v>
      </c>
      <c r="C100" s="6" t="s">
        <v>62</v>
      </c>
      <c r="D100" s="6" t="s">
        <v>129</v>
      </c>
      <c r="E100" s="6" t="s">
        <v>241</v>
      </c>
      <c r="F100" s="6" t="s">
        <v>242</v>
      </c>
      <c r="G100" s="7">
        <v>140.35999999999999</v>
      </c>
      <c r="H100" s="6" t="s">
        <v>64</v>
      </c>
      <c r="I100" s="6" t="s">
        <v>48</v>
      </c>
      <c r="J100" s="8">
        <v>128.0</v>
      </c>
      <c r="K100" s="6" t="s">
        <v>62</v>
      </c>
      <c r="L100" s="6" t="s">
        <v>69</v>
      </c>
      <c r="M100" s="6" t="s">
        <v>70</v>
      </c>
      <c r="N100" s="6" t="s">
        <v>58</v>
      </c>
      <c r="O100" s="6" t="s">
        <v>244</v>
      </c>
      <c r="P100" s="8" t="s">
        <v>261</v>
      </c>
      <c r="Q100" s="6" t="s">
        <v>46</v>
      </c>
      <c r="R100" s="6" t="s">
        <v>48</v>
      </c>
      <c r="S100" s="6" t="s">
        <v>48</v>
      </c>
      <c r="T100" s="6" t="s">
        <v>52</v>
      </c>
      <c r="U100" s="5">
        <f t="shared" si="1"/>
        <v>19.30617</v>
      </c>
      <c r="V100" s="5"/>
      <c r="W100" s="5"/>
      <c r="X100" s="5"/>
      <c r="Y100" s="5"/>
      <c r="Z100" s="5"/>
      <c r="AA100" s="5"/>
    </row>
    <row r="101" ht="15.75" customHeight="1">
      <c r="A101" s="6" t="s">
        <v>199</v>
      </c>
      <c r="B101" s="6" t="s">
        <v>240</v>
      </c>
      <c r="C101" s="6" t="s">
        <v>72</v>
      </c>
      <c r="D101" s="6" t="s">
        <v>63</v>
      </c>
      <c r="E101" s="6" t="s">
        <v>241</v>
      </c>
      <c r="F101" s="6" t="s">
        <v>242</v>
      </c>
      <c r="G101" s="7">
        <v>83.52</v>
      </c>
      <c r="H101" s="6" t="s">
        <v>262</v>
      </c>
      <c r="I101" s="6" t="s">
        <v>48</v>
      </c>
      <c r="J101" s="8">
        <v>1912.0</v>
      </c>
      <c r="K101" s="6" t="s">
        <v>74</v>
      </c>
      <c r="L101" s="6" t="s">
        <v>75</v>
      </c>
      <c r="M101" s="6" t="s">
        <v>76</v>
      </c>
      <c r="N101" s="6" t="s">
        <v>58</v>
      </c>
      <c r="O101" s="6" t="s">
        <v>244</v>
      </c>
      <c r="P101" s="8" t="s">
        <v>252</v>
      </c>
      <c r="Q101" s="6" t="s">
        <v>46</v>
      </c>
      <c r="R101" s="6" t="s">
        <v>48</v>
      </c>
      <c r="S101" s="6" t="s">
        <v>48</v>
      </c>
      <c r="T101" s="6" t="s">
        <v>77</v>
      </c>
      <c r="U101" s="5">
        <f t="shared" si="1"/>
        <v>19.12144</v>
      </c>
      <c r="V101" s="5"/>
      <c r="W101" s="5"/>
      <c r="X101" s="5"/>
      <c r="Y101" s="5"/>
      <c r="Z101" s="5"/>
      <c r="AA101" s="5"/>
    </row>
    <row r="102" ht="15.75" customHeight="1">
      <c r="A102" s="6" t="s">
        <v>199</v>
      </c>
      <c r="B102" s="6" t="s">
        <v>240</v>
      </c>
      <c r="C102" s="6" t="s">
        <v>72</v>
      </c>
      <c r="D102" s="6" t="s">
        <v>54</v>
      </c>
      <c r="E102" s="6" t="s">
        <v>241</v>
      </c>
      <c r="F102" s="6" t="s">
        <v>242</v>
      </c>
      <c r="G102" s="7">
        <v>110.19999999999999</v>
      </c>
      <c r="H102" s="6" t="s">
        <v>263</v>
      </c>
      <c r="I102" s="6" t="s">
        <v>48</v>
      </c>
      <c r="J102" s="8">
        <v>15736.0</v>
      </c>
      <c r="K102" s="6" t="s">
        <v>74</v>
      </c>
      <c r="L102" s="6" t="s">
        <v>75</v>
      </c>
      <c r="M102" s="6" t="s">
        <v>76</v>
      </c>
      <c r="N102" s="6" t="s">
        <v>58</v>
      </c>
      <c r="O102" s="6" t="s">
        <v>244</v>
      </c>
      <c r="P102" s="8" t="s">
        <v>254</v>
      </c>
      <c r="Q102" s="6" t="s">
        <v>46</v>
      </c>
      <c r="R102" s="6" t="s">
        <v>48</v>
      </c>
      <c r="S102" s="6" t="s">
        <v>48</v>
      </c>
      <c r="T102" s="6" t="s">
        <v>77</v>
      </c>
      <c r="U102" s="5">
        <f t="shared" si="1"/>
        <v>19.20815</v>
      </c>
      <c r="V102" s="5"/>
      <c r="W102" s="5"/>
      <c r="X102" s="5"/>
      <c r="Y102" s="5"/>
      <c r="Z102" s="5"/>
      <c r="AA102" s="5"/>
    </row>
    <row r="103" ht="15.75" customHeight="1">
      <c r="A103" s="6" t="s">
        <v>199</v>
      </c>
      <c r="B103" s="6" t="s">
        <v>240</v>
      </c>
      <c r="C103" s="6" t="s">
        <v>72</v>
      </c>
      <c r="D103" s="6" t="s">
        <v>27</v>
      </c>
      <c r="E103" s="6" t="s">
        <v>241</v>
      </c>
      <c r="F103" s="6" t="s">
        <v>242</v>
      </c>
      <c r="G103" s="7">
        <v>121.8</v>
      </c>
      <c r="H103" s="6" t="s">
        <v>264</v>
      </c>
      <c r="I103" s="6" t="s">
        <v>48</v>
      </c>
      <c r="J103" s="8">
        <v>15733.0</v>
      </c>
      <c r="K103" s="6" t="s">
        <v>74</v>
      </c>
      <c r="L103" s="6" t="s">
        <v>75</v>
      </c>
      <c r="M103" s="6" t="s">
        <v>76</v>
      </c>
      <c r="N103" s="6" t="s">
        <v>58</v>
      </c>
      <c r="O103" s="6" t="s">
        <v>244</v>
      </c>
      <c r="P103" s="8" t="s">
        <v>256</v>
      </c>
      <c r="Q103" s="6" t="s">
        <v>46</v>
      </c>
      <c r="R103" s="6" t="s">
        <v>48</v>
      </c>
      <c r="S103" s="6" t="s">
        <v>48</v>
      </c>
      <c r="T103" s="6" t="s">
        <v>77</v>
      </c>
      <c r="U103" s="5">
        <f t="shared" si="1"/>
        <v>19.24585</v>
      </c>
      <c r="V103" s="5"/>
      <c r="W103" s="5"/>
      <c r="X103" s="5"/>
      <c r="Y103" s="5"/>
      <c r="Z103" s="5"/>
      <c r="AA103" s="5"/>
    </row>
    <row r="104" ht="15.75" customHeight="1">
      <c r="A104" s="6" t="s">
        <v>199</v>
      </c>
      <c r="B104" s="6" t="s">
        <v>240</v>
      </c>
      <c r="C104" s="6" t="s">
        <v>72</v>
      </c>
      <c r="D104" s="6" t="s">
        <v>129</v>
      </c>
      <c r="E104" s="6" t="s">
        <v>241</v>
      </c>
      <c r="F104" s="6" t="s">
        <v>242</v>
      </c>
      <c r="G104" s="7">
        <v>160.07999999999998</v>
      </c>
      <c r="H104" s="6" t="s">
        <v>265</v>
      </c>
      <c r="I104" s="6" t="s">
        <v>48</v>
      </c>
      <c r="J104" s="8">
        <v>616.0</v>
      </c>
      <c r="K104" s="6" t="s">
        <v>74</v>
      </c>
      <c r="L104" s="6" t="s">
        <v>75</v>
      </c>
      <c r="M104" s="6" t="s">
        <v>76</v>
      </c>
      <c r="N104" s="6" t="s">
        <v>58</v>
      </c>
      <c r="O104" s="6" t="s">
        <v>244</v>
      </c>
      <c r="P104" s="8" t="s">
        <v>258</v>
      </c>
      <c r="Q104" s="6" t="s">
        <v>46</v>
      </c>
      <c r="R104" s="6" t="s">
        <v>48</v>
      </c>
      <c r="S104" s="6" t="s">
        <v>48</v>
      </c>
      <c r="T104" s="6" t="s">
        <v>77</v>
      </c>
      <c r="U104" s="5">
        <f t="shared" si="1"/>
        <v>19.37026</v>
      </c>
      <c r="V104" s="5"/>
      <c r="W104" s="5"/>
      <c r="X104" s="5"/>
      <c r="Y104" s="5"/>
      <c r="Z104" s="5"/>
      <c r="AA104" s="5"/>
    </row>
    <row r="105" ht="15.75" customHeight="1">
      <c r="A105" s="6" t="s">
        <v>199</v>
      </c>
      <c r="B105" s="6" t="s">
        <v>266</v>
      </c>
      <c r="C105" s="6" t="s">
        <v>26</v>
      </c>
      <c r="D105" s="6" t="s">
        <v>54</v>
      </c>
      <c r="E105" s="6" t="s">
        <v>267</v>
      </c>
      <c r="F105" s="6" t="s">
        <v>268</v>
      </c>
      <c r="G105" s="7">
        <v>140.35999999999999</v>
      </c>
      <c r="H105" s="6" t="s">
        <v>269</v>
      </c>
      <c r="I105" s="6" t="s">
        <v>37</v>
      </c>
      <c r="J105" s="8">
        <v>215.0</v>
      </c>
      <c r="K105" s="6" t="s">
        <v>40</v>
      </c>
      <c r="L105" s="6" t="s">
        <v>42</v>
      </c>
      <c r="M105" s="6" t="s">
        <v>44</v>
      </c>
      <c r="N105" s="6" t="s">
        <v>41</v>
      </c>
      <c r="O105" s="6" t="s">
        <v>270</v>
      </c>
      <c r="P105" s="8" t="s">
        <v>271</v>
      </c>
      <c r="Q105" s="6" t="s">
        <v>46</v>
      </c>
      <c r="R105" s="6" t="s">
        <v>48</v>
      </c>
      <c r="S105" s="6" t="s">
        <v>48</v>
      </c>
      <c r="T105" s="6" t="s">
        <v>52</v>
      </c>
      <c r="U105" s="5">
        <f t="shared" si="1"/>
        <v>19.30617</v>
      </c>
      <c r="V105" s="5"/>
      <c r="W105" s="5"/>
      <c r="X105" s="5"/>
      <c r="Y105" s="5"/>
      <c r="Z105" s="5"/>
      <c r="AA105" s="5"/>
    </row>
    <row r="106" ht="15.75" customHeight="1">
      <c r="A106" s="6" t="s">
        <v>199</v>
      </c>
      <c r="B106" s="6" t="s">
        <v>266</v>
      </c>
      <c r="C106" s="6" t="s">
        <v>26</v>
      </c>
      <c r="D106" s="6" t="s">
        <v>27</v>
      </c>
      <c r="E106" s="6" t="s">
        <v>267</v>
      </c>
      <c r="F106" s="6" t="s">
        <v>268</v>
      </c>
      <c r="G106" s="7">
        <v>140.35999999999999</v>
      </c>
      <c r="H106" s="6" t="s">
        <v>272</v>
      </c>
      <c r="I106" s="6" t="s">
        <v>37</v>
      </c>
      <c r="J106" s="8">
        <v>216.0</v>
      </c>
      <c r="K106" s="6" t="s">
        <v>40</v>
      </c>
      <c r="L106" s="6" t="s">
        <v>42</v>
      </c>
      <c r="M106" s="6" t="s">
        <v>44</v>
      </c>
      <c r="N106" s="6" t="s">
        <v>41</v>
      </c>
      <c r="O106" s="6" t="s">
        <v>270</v>
      </c>
      <c r="P106" s="8" t="s">
        <v>273</v>
      </c>
      <c r="Q106" s="6" t="s">
        <v>46</v>
      </c>
      <c r="R106" s="6" t="s">
        <v>48</v>
      </c>
      <c r="S106" s="6" t="s">
        <v>48</v>
      </c>
      <c r="T106" s="6" t="s">
        <v>52</v>
      </c>
      <c r="U106" s="5">
        <f t="shared" si="1"/>
        <v>19.30617</v>
      </c>
      <c r="V106" s="5"/>
      <c r="W106" s="5"/>
      <c r="X106" s="5"/>
      <c r="Y106" s="5"/>
      <c r="Z106" s="5"/>
      <c r="AA106" s="5"/>
    </row>
    <row r="107" ht="15.75" customHeight="1">
      <c r="A107" s="6" t="s">
        <v>199</v>
      </c>
      <c r="B107" s="6" t="s">
        <v>266</v>
      </c>
      <c r="C107" s="6" t="s">
        <v>26</v>
      </c>
      <c r="D107" s="6" t="s">
        <v>129</v>
      </c>
      <c r="E107" s="6" t="s">
        <v>267</v>
      </c>
      <c r="F107" s="6" t="s">
        <v>268</v>
      </c>
      <c r="G107" s="7">
        <v>165.88</v>
      </c>
      <c r="H107" s="6" t="s">
        <v>68</v>
      </c>
      <c r="I107" s="6" t="s">
        <v>37</v>
      </c>
      <c r="J107" s="8">
        <v>2690.0</v>
      </c>
      <c r="K107" s="6" t="s">
        <v>40</v>
      </c>
      <c r="L107" s="6" t="s">
        <v>42</v>
      </c>
      <c r="M107" s="6" t="s">
        <v>44</v>
      </c>
      <c r="N107" s="6" t="s">
        <v>41</v>
      </c>
      <c r="O107" s="6" t="s">
        <v>270</v>
      </c>
      <c r="P107" s="8" t="s">
        <v>274</v>
      </c>
      <c r="Q107" s="6" t="s">
        <v>46</v>
      </c>
      <c r="R107" s="6" t="s">
        <v>48</v>
      </c>
      <c r="S107" s="6" t="s">
        <v>48</v>
      </c>
      <c r="T107" s="6" t="s">
        <v>52</v>
      </c>
      <c r="U107" s="5">
        <f t="shared" si="1"/>
        <v>19.38911</v>
      </c>
      <c r="V107" s="5"/>
      <c r="W107" s="5"/>
      <c r="X107" s="5"/>
      <c r="Y107" s="5"/>
      <c r="Z107" s="5"/>
      <c r="AA107" s="5"/>
    </row>
    <row r="108" ht="15.75" customHeight="1">
      <c r="A108" s="6" t="s">
        <v>199</v>
      </c>
      <c r="B108" s="6" t="s">
        <v>266</v>
      </c>
      <c r="C108" s="6" t="s">
        <v>53</v>
      </c>
      <c r="D108" s="6" t="s">
        <v>54</v>
      </c>
      <c r="E108" s="6" t="s">
        <v>267</v>
      </c>
      <c r="F108" s="6" t="s">
        <v>268</v>
      </c>
      <c r="G108" s="7">
        <v>191.39999999999998</v>
      </c>
      <c r="H108" s="6" t="s">
        <v>140</v>
      </c>
      <c r="I108" s="6" t="s">
        <v>48</v>
      </c>
      <c r="J108" s="8">
        <v>220.0</v>
      </c>
      <c r="K108" s="6" t="s">
        <v>53</v>
      </c>
      <c r="L108" s="6" t="s">
        <v>56</v>
      </c>
      <c r="M108" s="6" t="s">
        <v>57</v>
      </c>
      <c r="N108" s="6" t="s">
        <v>58</v>
      </c>
      <c r="O108" s="6" t="s">
        <v>270</v>
      </c>
      <c r="P108" s="8" t="s">
        <v>275</v>
      </c>
      <c r="Q108" s="6" t="s">
        <v>46</v>
      </c>
      <c r="R108" s="6" t="s">
        <v>48</v>
      </c>
      <c r="S108" s="6" t="s">
        <v>48</v>
      </c>
      <c r="T108" s="6" t="s">
        <v>52</v>
      </c>
      <c r="U108" s="5">
        <f t="shared" si="1"/>
        <v>19.47205</v>
      </c>
      <c r="V108" s="5"/>
      <c r="W108" s="5"/>
      <c r="X108" s="5"/>
      <c r="Y108" s="5"/>
      <c r="Z108" s="5"/>
      <c r="AA108" s="5"/>
    </row>
    <row r="109" ht="15.75" customHeight="1">
      <c r="A109" s="6" t="s">
        <v>199</v>
      </c>
      <c r="B109" s="6" t="s">
        <v>266</v>
      </c>
      <c r="C109" s="6" t="s">
        <v>53</v>
      </c>
      <c r="D109" s="6" t="s">
        <v>27</v>
      </c>
      <c r="E109" s="6" t="s">
        <v>267</v>
      </c>
      <c r="F109" s="6" t="s">
        <v>268</v>
      </c>
      <c r="G109" s="7">
        <v>223.88</v>
      </c>
      <c r="H109" s="6" t="s">
        <v>276</v>
      </c>
      <c r="I109" s="6" t="s">
        <v>48</v>
      </c>
      <c r="J109" s="8">
        <v>221.0</v>
      </c>
      <c r="K109" s="6" t="s">
        <v>53</v>
      </c>
      <c r="L109" s="6" t="s">
        <v>56</v>
      </c>
      <c r="M109" s="6" t="s">
        <v>57</v>
      </c>
      <c r="N109" s="6" t="s">
        <v>58</v>
      </c>
      <c r="O109" s="6" t="s">
        <v>270</v>
      </c>
      <c r="P109" s="8" t="s">
        <v>277</v>
      </c>
      <c r="Q109" s="6" t="s">
        <v>46</v>
      </c>
      <c r="R109" s="6" t="s">
        <v>48</v>
      </c>
      <c r="S109" s="6" t="s">
        <v>48</v>
      </c>
      <c r="T109" s="6" t="s">
        <v>52</v>
      </c>
      <c r="U109" s="5">
        <f t="shared" si="1"/>
        <v>19.57761</v>
      </c>
      <c r="V109" s="5"/>
      <c r="W109" s="5"/>
      <c r="X109" s="5"/>
      <c r="Y109" s="5"/>
      <c r="Z109" s="5"/>
      <c r="AA109" s="5"/>
    </row>
    <row r="110" ht="15.75" customHeight="1">
      <c r="A110" s="6" t="s">
        <v>199</v>
      </c>
      <c r="B110" s="6" t="s">
        <v>266</v>
      </c>
      <c r="C110" s="6" t="s">
        <v>53</v>
      </c>
      <c r="D110" s="6" t="s">
        <v>129</v>
      </c>
      <c r="E110" s="6" t="s">
        <v>267</v>
      </c>
      <c r="F110" s="6" t="s">
        <v>268</v>
      </c>
      <c r="G110" s="7">
        <v>319.0</v>
      </c>
      <c r="H110" s="6" t="s">
        <v>265</v>
      </c>
      <c r="I110" s="6" t="s">
        <v>48</v>
      </c>
      <c r="J110" s="8">
        <v>222.0</v>
      </c>
      <c r="K110" s="6" t="s">
        <v>53</v>
      </c>
      <c r="L110" s="6" t="s">
        <v>56</v>
      </c>
      <c r="M110" s="6" t="s">
        <v>57</v>
      </c>
      <c r="N110" s="6" t="s">
        <v>58</v>
      </c>
      <c r="O110" s="6" t="s">
        <v>270</v>
      </c>
      <c r="P110" s="8" t="s">
        <v>278</v>
      </c>
      <c r="Q110" s="6" t="s">
        <v>46</v>
      </c>
      <c r="R110" s="6" t="s">
        <v>48</v>
      </c>
      <c r="S110" s="6" t="s">
        <v>48</v>
      </c>
      <c r="T110" s="6" t="s">
        <v>52</v>
      </c>
      <c r="U110" s="5">
        <f t="shared" si="1"/>
        <v>19.88675</v>
      </c>
      <c r="V110" s="5"/>
      <c r="W110" s="5"/>
      <c r="X110" s="5"/>
      <c r="Y110" s="5"/>
      <c r="Z110" s="5"/>
      <c r="AA110" s="5"/>
    </row>
    <row r="111" ht="15.75" customHeight="1">
      <c r="A111" s="6" t="s">
        <v>199</v>
      </c>
      <c r="B111" s="6" t="s">
        <v>266</v>
      </c>
      <c r="C111" s="6" t="s">
        <v>62</v>
      </c>
      <c r="D111" s="6" t="s">
        <v>54</v>
      </c>
      <c r="E111" s="6" t="s">
        <v>267</v>
      </c>
      <c r="F111" s="6" t="s">
        <v>268</v>
      </c>
      <c r="G111" s="7">
        <v>109.03999999999999</v>
      </c>
      <c r="H111" s="6" t="s">
        <v>279</v>
      </c>
      <c r="I111" s="6" t="s">
        <v>48</v>
      </c>
      <c r="J111" s="8">
        <v>207.0</v>
      </c>
      <c r="K111" s="6" t="s">
        <v>62</v>
      </c>
      <c r="L111" s="6" t="s">
        <v>69</v>
      </c>
      <c r="M111" s="6" t="s">
        <v>70</v>
      </c>
      <c r="N111" s="6" t="s">
        <v>58</v>
      </c>
      <c r="O111" s="6" t="s">
        <v>270</v>
      </c>
      <c r="P111" s="8" t="s">
        <v>275</v>
      </c>
      <c r="Q111" s="6" t="s">
        <v>46</v>
      </c>
      <c r="R111" s="6" t="s">
        <v>48</v>
      </c>
      <c r="S111" s="6" t="s">
        <v>48</v>
      </c>
      <c r="T111" s="6" t="s">
        <v>52</v>
      </c>
      <c r="U111" s="5">
        <f t="shared" si="1"/>
        <v>19.20438</v>
      </c>
      <c r="V111" s="5"/>
      <c r="W111" s="5"/>
      <c r="X111" s="5"/>
      <c r="Y111" s="5"/>
      <c r="Z111" s="5"/>
      <c r="AA111" s="5"/>
    </row>
    <row r="112" ht="15.75" customHeight="1">
      <c r="A112" s="6" t="s">
        <v>199</v>
      </c>
      <c r="B112" s="6" t="s">
        <v>266</v>
      </c>
      <c r="C112" s="6" t="s">
        <v>62</v>
      </c>
      <c r="D112" s="6" t="s">
        <v>27</v>
      </c>
      <c r="E112" s="6" t="s">
        <v>267</v>
      </c>
      <c r="F112" s="6" t="s">
        <v>268</v>
      </c>
      <c r="G112" s="7">
        <v>121.8</v>
      </c>
      <c r="H112" s="6" t="s">
        <v>280</v>
      </c>
      <c r="I112" s="6" t="s">
        <v>48</v>
      </c>
      <c r="J112" s="8">
        <v>208.0</v>
      </c>
      <c r="K112" s="6" t="s">
        <v>62</v>
      </c>
      <c r="L112" s="6" t="s">
        <v>69</v>
      </c>
      <c r="M112" s="6" t="s">
        <v>70</v>
      </c>
      <c r="N112" s="6" t="s">
        <v>58</v>
      </c>
      <c r="O112" s="6" t="s">
        <v>270</v>
      </c>
      <c r="P112" s="8" t="s">
        <v>277</v>
      </c>
      <c r="Q112" s="6" t="s">
        <v>46</v>
      </c>
      <c r="R112" s="6" t="s">
        <v>48</v>
      </c>
      <c r="S112" s="6" t="s">
        <v>48</v>
      </c>
      <c r="T112" s="6" t="s">
        <v>52</v>
      </c>
      <c r="U112" s="5">
        <f t="shared" si="1"/>
        <v>19.24585</v>
      </c>
      <c r="V112" s="5"/>
      <c r="W112" s="5"/>
      <c r="X112" s="5"/>
      <c r="Y112" s="5"/>
      <c r="Z112" s="5"/>
      <c r="AA112" s="5"/>
    </row>
    <row r="113" ht="15.75" customHeight="1">
      <c r="A113" s="6" t="s">
        <v>199</v>
      </c>
      <c r="B113" s="6" t="s">
        <v>266</v>
      </c>
      <c r="C113" s="6" t="s">
        <v>72</v>
      </c>
      <c r="D113" s="6" t="s">
        <v>54</v>
      </c>
      <c r="E113" s="6" t="s">
        <v>267</v>
      </c>
      <c r="F113" s="6" t="s">
        <v>268</v>
      </c>
      <c r="G113" s="7">
        <v>109.03999999999999</v>
      </c>
      <c r="H113" s="6" t="s">
        <v>281</v>
      </c>
      <c r="I113" s="6" t="s">
        <v>48</v>
      </c>
      <c r="J113" s="8">
        <v>212.0</v>
      </c>
      <c r="K113" s="6" t="s">
        <v>74</v>
      </c>
      <c r="L113" s="6" t="s">
        <v>75</v>
      </c>
      <c r="M113" s="6" t="s">
        <v>76</v>
      </c>
      <c r="N113" s="6" t="s">
        <v>58</v>
      </c>
      <c r="O113" s="6" t="s">
        <v>270</v>
      </c>
      <c r="P113" s="8" t="s">
        <v>275</v>
      </c>
      <c r="Q113" s="6" t="s">
        <v>46</v>
      </c>
      <c r="R113" s="6" t="s">
        <v>48</v>
      </c>
      <c r="S113" s="6" t="s">
        <v>48</v>
      </c>
      <c r="T113" s="6" t="s">
        <v>77</v>
      </c>
      <c r="U113" s="5">
        <f t="shared" si="1"/>
        <v>19.20438</v>
      </c>
      <c r="V113" s="5"/>
      <c r="W113" s="5"/>
      <c r="X113" s="5"/>
      <c r="Y113" s="5"/>
      <c r="Z113" s="5"/>
      <c r="AA113" s="5"/>
    </row>
    <row r="114" ht="15.75" customHeight="1">
      <c r="A114" s="6" t="s">
        <v>199</v>
      </c>
      <c r="B114" s="6" t="s">
        <v>266</v>
      </c>
      <c r="C114" s="6" t="s">
        <v>72</v>
      </c>
      <c r="D114" s="6" t="s">
        <v>27</v>
      </c>
      <c r="E114" s="6" t="s">
        <v>267</v>
      </c>
      <c r="F114" s="6" t="s">
        <v>268</v>
      </c>
      <c r="G114" s="7">
        <v>121.8</v>
      </c>
      <c r="H114" s="6" t="s">
        <v>282</v>
      </c>
      <c r="I114" s="6" t="s">
        <v>48</v>
      </c>
      <c r="J114" s="8">
        <v>213.0</v>
      </c>
      <c r="K114" s="6" t="s">
        <v>74</v>
      </c>
      <c r="L114" s="6" t="s">
        <v>75</v>
      </c>
      <c r="M114" s="6" t="s">
        <v>76</v>
      </c>
      <c r="N114" s="6" t="s">
        <v>58</v>
      </c>
      <c r="O114" s="6" t="s">
        <v>270</v>
      </c>
      <c r="P114" s="8" t="s">
        <v>277</v>
      </c>
      <c r="Q114" s="6" t="s">
        <v>46</v>
      </c>
      <c r="R114" s="6" t="s">
        <v>48</v>
      </c>
      <c r="S114" s="6" t="s">
        <v>48</v>
      </c>
      <c r="T114" s="6" t="s">
        <v>77</v>
      </c>
      <c r="U114" s="5">
        <f t="shared" si="1"/>
        <v>19.24585</v>
      </c>
      <c r="V114" s="5"/>
      <c r="W114" s="5"/>
      <c r="X114" s="5"/>
      <c r="Y114" s="5"/>
      <c r="Z114" s="5"/>
      <c r="AA114" s="5"/>
    </row>
    <row r="115" ht="15.75" customHeight="1">
      <c r="A115" s="6" t="s">
        <v>199</v>
      </c>
      <c r="B115" s="6" t="s">
        <v>283</v>
      </c>
      <c r="C115" s="6" t="s">
        <v>26</v>
      </c>
      <c r="D115" s="6" t="s">
        <v>54</v>
      </c>
      <c r="E115" s="6" t="s">
        <v>284</v>
      </c>
      <c r="F115" s="6" t="s">
        <v>285</v>
      </c>
      <c r="G115" s="7">
        <v>121.8</v>
      </c>
      <c r="H115" s="6" t="s">
        <v>177</v>
      </c>
      <c r="I115" s="6" t="s">
        <v>37</v>
      </c>
      <c r="J115" s="8">
        <v>253.0</v>
      </c>
      <c r="K115" s="6" t="s">
        <v>40</v>
      </c>
      <c r="L115" s="6" t="s">
        <v>42</v>
      </c>
      <c r="M115" s="6" t="s">
        <v>44</v>
      </c>
      <c r="N115" s="6" t="s">
        <v>41</v>
      </c>
      <c r="O115" s="6" t="s">
        <v>286</v>
      </c>
      <c r="P115" s="8" t="s">
        <v>287</v>
      </c>
      <c r="Q115" s="6" t="s">
        <v>46</v>
      </c>
      <c r="R115" s="6" t="s">
        <v>48</v>
      </c>
      <c r="S115" s="6" t="s">
        <v>48</v>
      </c>
      <c r="T115" s="6" t="s">
        <v>52</v>
      </c>
      <c r="U115" s="5">
        <f t="shared" si="1"/>
        <v>19.24585</v>
      </c>
      <c r="V115" s="5"/>
      <c r="W115" s="5"/>
      <c r="X115" s="5"/>
      <c r="Y115" s="5"/>
      <c r="Z115" s="5"/>
      <c r="AA115" s="5"/>
    </row>
    <row r="116" ht="15.75" customHeight="1">
      <c r="A116" s="6" t="s">
        <v>199</v>
      </c>
      <c r="B116" s="6" t="s">
        <v>283</v>
      </c>
      <c r="C116" s="6" t="s">
        <v>26</v>
      </c>
      <c r="D116" s="6" t="s">
        <v>27</v>
      </c>
      <c r="E116" s="6" t="s">
        <v>284</v>
      </c>
      <c r="F116" s="6" t="s">
        <v>285</v>
      </c>
      <c r="G116" s="7">
        <v>140.35999999999999</v>
      </c>
      <c r="H116" s="6" t="s">
        <v>288</v>
      </c>
      <c r="I116" s="6" t="s">
        <v>37</v>
      </c>
      <c r="J116" s="8">
        <v>254.0</v>
      </c>
      <c r="K116" s="6" t="s">
        <v>40</v>
      </c>
      <c r="L116" s="6" t="s">
        <v>42</v>
      </c>
      <c r="M116" s="6" t="s">
        <v>44</v>
      </c>
      <c r="N116" s="6" t="s">
        <v>41</v>
      </c>
      <c r="O116" s="6" t="s">
        <v>286</v>
      </c>
      <c r="P116" s="8" t="s">
        <v>289</v>
      </c>
      <c r="Q116" s="6" t="s">
        <v>46</v>
      </c>
      <c r="R116" s="6" t="s">
        <v>48</v>
      </c>
      <c r="S116" s="6" t="s">
        <v>48</v>
      </c>
      <c r="T116" s="6" t="s">
        <v>52</v>
      </c>
      <c r="U116" s="5">
        <f t="shared" si="1"/>
        <v>19.30617</v>
      </c>
      <c r="V116" s="5"/>
      <c r="W116" s="5"/>
      <c r="X116" s="5"/>
      <c r="Y116" s="5"/>
      <c r="Z116" s="5"/>
      <c r="AA116" s="5"/>
    </row>
    <row r="117" ht="15.75" customHeight="1">
      <c r="A117" s="6" t="s">
        <v>199</v>
      </c>
      <c r="B117" s="6" t="s">
        <v>283</v>
      </c>
      <c r="C117" s="6" t="s">
        <v>26</v>
      </c>
      <c r="D117" s="6" t="s">
        <v>129</v>
      </c>
      <c r="E117" s="6" t="s">
        <v>284</v>
      </c>
      <c r="F117" s="6" t="s">
        <v>285</v>
      </c>
      <c r="G117" s="7">
        <v>165.88</v>
      </c>
      <c r="H117" s="6" t="s">
        <v>290</v>
      </c>
      <c r="I117" s="6" t="s">
        <v>37</v>
      </c>
      <c r="J117" s="8">
        <v>255.0</v>
      </c>
      <c r="K117" s="6" t="s">
        <v>40</v>
      </c>
      <c r="L117" s="6" t="s">
        <v>42</v>
      </c>
      <c r="M117" s="6" t="s">
        <v>44</v>
      </c>
      <c r="N117" s="6" t="s">
        <v>41</v>
      </c>
      <c r="O117" s="6" t="s">
        <v>286</v>
      </c>
      <c r="P117" s="8" t="s">
        <v>291</v>
      </c>
      <c r="Q117" s="6" t="s">
        <v>46</v>
      </c>
      <c r="R117" s="6" t="s">
        <v>48</v>
      </c>
      <c r="S117" s="6" t="s">
        <v>48</v>
      </c>
      <c r="T117" s="6" t="s">
        <v>52</v>
      </c>
      <c r="U117" s="5">
        <f t="shared" si="1"/>
        <v>19.38911</v>
      </c>
      <c r="V117" s="5"/>
      <c r="W117" s="5"/>
      <c r="X117" s="5"/>
      <c r="Y117" s="5"/>
      <c r="Z117" s="5"/>
      <c r="AA117" s="5"/>
    </row>
    <row r="118" ht="15.75" customHeight="1">
      <c r="A118" s="6" t="s">
        <v>199</v>
      </c>
      <c r="B118" s="6" t="s">
        <v>283</v>
      </c>
      <c r="C118" s="6" t="s">
        <v>53</v>
      </c>
      <c r="D118" s="6" t="s">
        <v>54</v>
      </c>
      <c r="E118" s="6" t="s">
        <v>284</v>
      </c>
      <c r="F118" s="6" t="s">
        <v>285</v>
      </c>
      <c r="G118" s="7">
        <v>191.39999999999998</v>
      </c>
      <c r="H118" s="6" t="s">
        <v>292</v>
      </c>
      <c r="I118" s="6" t="s">
        <v>48</v>
      </c>
      <c r="J118" s="8">
        <v>258.0</v>
      </c>
      <c r="K118" s="6" t="s">
        <v>53</v>
      </c>
      <c r="L118" s="6" t="s">
        <v>56</v>
      </c>
      <c r="M118" s="6" t="s">
        <v>57</v>
      </c>
      <c r="N118" s="6" t="s">
        <v>58</v>
      </c>
      <c r="O118" s="6" t="s">
        <v>286</v>
      </c>
      <c r="P118" s="8" t="s">
        <v>147</v>
      </c>
      <c r="Q118" s="6" t="s">
        <v>46</v>
      </c>
      <c r="R118" s="6" t="s">
        <v>48</v>
      </c>
      <c r="S118" s="6" t="s">
        <v>48</v>
      </c>
      <c r="T118" s="6" t="s">
        <v>52</v>
      </c>
      <c r="U118" s="5">
        <f t="shared" si="1"/>
        <v>19.47205</v>
      </c>
      <c r="V118" s="5"/>
      <c r="W118" s="5"/>
      <c r="X118" s="5"/>
      <c r="Y118" s="5"/>
      <c r="Z118" s="5"/>
      <c r="AA118" s="5"/>
    </row>
    <row r="119" ht="15.75" customHeight="1">
      <c r="A119" s="6" t="s">
        <v>199</v>
      </c>
      <c r="B119" s="6" t="s">
        <v>283</v>
      </c>
      <c r="C119" s="6" t="s">
        <v>53</v>
      </c>
      <c r="D119" s="6" t="s">
        <v>27</v>
      </c>
      <c r="E119" s="6" t="s">
        <v>284</v>
      </c>
      <c r="F119" s="6" t="s">
        <v>285</v>
      </c>
      <c r="G119" s="7">
        <v>223.88</v>
      </c>
      <c r="H119" s="6" t="s">
        <v>293</v>
      </c>
      <c r="I119" s="6" t="s">
        <v>48</v>
      </c>
      <c r="J119" s="8">
        <v>259.0</v>
      </c>
      <c r="K119" s="6" t="s">
        <v>53</v>
      </c>
      <c r="L119" s="6" t="s">
        <v>56</v>
      </c>
      <c r="M119" s="6" t="s">
        <v>57</v>
      </c>
      <c r="N119" s="6" t="s">
        <v>58</v>
      </c>
      <c r="O119" s="6" t="s">
        <v>286</v>
      </c>
      <c r="P119" s="8" t="s">
        <v>294</v>
      </c>
      <c r="Q119" s="6" t="s">
        <v>46</v>
      </c>
      <c r="R119" s="6" t="s">
        <v>48</v>
      </c>
      <c r="S119" s="6" t="s">
        <v>48</v>
      </c>
      <c r="T119" s="6" t="s">
        <v>52</v>
      </c>
      <c r="U119" s="5">
        <f t="shared" si="1"/>
        <v>19.57761</v>
      </c>
      <c r="V119" s="5"/>
      <c r="W119" s="5"/>
      <c r="X119" s="5"/>
      <c r="Y119" s="5"/>
      <c r="Z119" s="5"/>
      <c r="AA119" s="5"/>
    </row>
    <row r="120" ht="15.75" customHeight="1">
      <c r="A120" s="6" t="s">
        <v>199</v>
      </c>
      <c r="B120" s="6" t="s">
        <v>283</v>
      </c>
      <c r="C120" s="6" t="s">
        <v>53</v>
      </c>
      <c r="D120" s="6" t="s">
        <v>129</v>
      </c>
      <c r="E120" s="6" t="s">
        <v>284</v>
      </c>
      <c r="F120" s="6" t="s">
        <v>285</v>
      </c>
      <c r="G120" s="7">
        <v>319.0</v>
      </c>
      <c r="H120" s="6" t="s">
        <v>257</v>
      </c>
      <c r="I120" s="6" t="s">
        <v>48</v>
      </c>
      <c r="J120" s="8">
        <v>260.0</v>
      </c>
      <c r="K120" s="6" t="s">
        <v>53</v>
      </c>
      <c r="L120" s="6" t="s">
        <v>56</v>
      </c>
      <c r="M120" s="6" t="s">
        <v>57</v>
      </c>
      <c r="N120" s="6" t="s">
        <v>58</v>
      </c>
      <c r="O120" s="6" t="s">
        <v>286</v>
      </c>
      <c r="P120" s="8" t="s">
        <v>295</v>
      </c>
      <c r="Q120" s="6" t="s">
        <v>46</v>
      </c>
      <c r="R120" s="6" t="s">
        <v>48</v>
      </c>
      <c r="S120" s="6" t="s">
        <v>48</v>
      </c>
      <c r="T120" s="6" t="s">
        <v>52</v>
      </c>
      <c r="U120" s="5">
        <f t="shared" si="1"/>
        <v>19.88675</v>
      </c>
      <c r="V120" s="5"/>
      <c r="W120" s="5"/>
      <c r="X120" s="5"/>
      <c r="Y120" s="5"/>
      <c r="Z120" s="5"/>
      <c r="AA120" s="5"/>
    </row>
    <row r="121" ht="15.75" customHeight="1">
      <c r="A121" s="6" t="s">
        <v>199</v>
      </c>
      <c r="B121" s="6" t="s">
        <v>283</v>
      </c>
      <c r="C121" s="6" t="s">
        <v>62</v>
      </c>
      <c r="D121" s="6" t="s">
        <v>54</v>
      </c>
      <c r="E121" s="6" t="s">
        <v>284</v>
      </c>
      <c r="F121" s="6" t="s">
        <v>285</v>
      </c>
      <c r="G121" s="7">
        <v>109.03999999999999</v>
      </c>
      <c r="H121" s="6" t="s">
        <v>296</v>
      </c>
      <c r="I121" s="6" t="s">
        <v>48</v>
      </c>
      <c r="J121" s="8">
        <v>243.0</v>
      </c>
      <c r="K121" s="6" t="s">
        <v>62</v>
      </c>
      <c r="L121" s="6" t="s">
        <v>69</v>
      </c>
      <c r="M121" s="6" t="s">
        <v>70</v>
      </c>
      <c r="N121" s="6" t="s">
        <v>58</v>
      </c>
      <c r="O121" s="6" t="s">
        <v>286</v>
      </c>
      <c r="P121" s="8" t="s">
        <v>147</v>
      </c>
      <c r="Q121" s="6" t="s">
        <v>46</v>
      </c>
      <c r="R121" s="6" t="s">
        <v>48</v>
      </c>
      <c r="S121" s="6" t="s">
        <v>48</v>
      </c>
      <c r="T121" s="6" t="s">
        <v>52</v>
      </c>
      <c r="U121" s="5">
        <f t="shared" si="1"/>
        <v>19.20438</v>
      </c>
      <c r="V121" s="5"/>
      <c r="W121" s="5"/>
      <c r="X121" s="5"/>
      <c r="Y121" s="5"/>
      <c r="Z121" s="5"/>
      <c r="AA121" s="5"/>
    </row>
    <row r="122" ht="15.75" customHeight="1">
      <c r="A122" s="6" t="s">
        <v>199</v>
      </c>
      <c r="B122" s="6" t="s">
        <v>283</v>
      </c>
      <c r="C122" s="6" t="s">
        <v>62</v>
      </c>
      <c r="D122" s="6" t="s">
        <v>27</v>
      </c>
      <c r="E122" s="6" t="s">
        <v>284</v>
      </c>
      <c r="F122" s="6" t="s">
        <v>285</v>
      </c>
      <c r="G122" s="7">
        <v>121.8</v>
      </c>
      <c r="H122" s="6" t="s">
        <v>297</v>
      </c>
      <c r="I122" s="6" t="s">
        <v>48</v>
      </c>
      <c r="J122" s="8">
        <v>244.0</v>
      </c>
      <c r="K122" s="6" t="s">
        <v>62</v>
      </c>
      <c r="L122" s="6" t="s">
        <v>69</v>
      </c>
      <c r="M122" s="6" t="s">
        <v>70</v>
      </c>
      <c r="N122" s="6" t="s">
        <v>58</v>
      </c>
      <c r="O122" s="6" t="s">
        <v>286</v>
      </c>
      <c r="P122" s="8" t="s">
        <v>294</v>
      </c>
      <c r="Q122" s="6" t="s">
        <v>46</v>
      </c>
      <c r="R122" s="6" t="s">
        <v>48</v>
      </c>
      <c r="S122" s="6" t="s">
        <v>48</v>
      </c>
      <c r="T122" s="6" t="s">
        <v>52</v>
      </c>
      <c r="U122" s="5">
        <f t="shared" si="1"/>
        <v>19.24585</v>
      </c>
      <c r="V122" s="5"/>
      <c r="W122" s="5"/>
      <c r="X122" s="5"/>
      <c r="Y122" s="5"/>
      <c r="Z122" s="5"/>
      <c r="AA122" s="5"/>
    </row>
    <row r="123" ht="15.75" customHeight="1">
      <c r="A123" s="6" t="s">
        <v>199</v>
      </c>
      <c r="B123" s="6" t="s">
        <v>283</v>
      </c>
      <c r="C123" s="6" t="s">
        <v>62</v>
      </c>
      <c r="D123" s="6" t="s">
        <v>129</v>
      </c>
      <c r="E123" s="6" t="s">
        <v>284</v>
      </c>
      <c r="F123" s="6" t="s">
        <v>285</v>
      </c>
      <c r="G123" s="7">
        <v>140.35999999999999</v>
      </c>
      <c r="H123" s="6" t="s">
        <v>64</v>
      </c>
      <c r="I123" s="6" t="s">
        <v>48</v>
      </c>
      <c r="J123" s="8">
        <v>615.0</v>
      </c>
      <c r="K123" s="6" t="s">
        <v>62</v>
      </c>
      <c r="L123" s="6" t="s">
        <v>69</v>
      </c>
      <c r="M123" s="6" t="s">
        <v>70</v>
      </c>
      <c r="N123" s="6" t="s">
        <v>58</v>
      </c>
      <c r="O123" s="6" t="s">
        <v>286</v>
      </c>
      <c r="P123" s="8" t="s">
        <v>298</v>
      </c>
      <c r="Q123" s="6" t="s">
        <v>46</v>
      </c>
      <c r="R123" s="6" t="s">
        <v>48</v>
      </c>
      <c r="S123" s="6" t="s">
        <v>48</v>
      </c>
      <c r="T123" s="6" t="s">
        <v>52</v>
      </c>
      <c r="U123" s="5">
        <f t="shared" si="1"/>
        <v>19.30617</v>
      </c>
      <c r="V123" s="5"/>
      <c r="W123" s="5"/>
      <c r="X123" s="5"/>
      <c r="Y123" s="5"/>
      <c r="Z123" s="5"/>
      <c r="AA123" s="5"/>
    </row>
    <row r="124" ht="15.75" customHeight="1">
      <c r="A124" s="6" t="s">
        <v>199</v>
      </c>
      <c r="B124" s="6" t="s">
        <v>283</v>
      </c>
      <c r="C124" s="6" t="s">
        <v>62</v>
      </c>
      <c r="D124" s="6" t="s">
        <v>299</v>
      </c>
      <c r="E124" s="6" t="s">
        <v>284</v>
      </c>
      <c r="F124" s="6" t="s">
        <v>285</v>
      </c>
      <c r="G124" s="7">
        <v>229.67999999999998</v>
      </c>
      <c r="H124" s="6" t="s">
        <v>300</v>
      </c>
      <c r="I124" s="6" t="s">
        <v>48</v>
      </c>
      <c r="J124" s="8">
        <v>247.0</v>
      </c>
      <c r="K124" s="6" t="s">
        <v>62</v>
      </c>
      <c r="L124" s="6" t="s">
        <v>301</v>
      </c>
      <c r="M124" s="6" t="s">
        <v>302</v>
      </c>
      <c r="N124" s="6" t="s">
        <v>58</v>
      </c>
      <c r="O124" s="6" t="s">
        <v>286</v>
      </c>
      <c r="P124" s="8" t="s">
        <v>303</v>
      </c>
      <c r="Q124" s="6" t="s">
        <v>46</v>
      </c>
      <c r="R124" s="6" t="s">
        <v>48</v>
      </c>
      <c r="S124" s="6" t="s">
        <v>48</v>
      </c>
      <c r="T124" s="6" t="s">
        <v>52</v>
      </c>
      <c r="U124" s="5">
        <f t="shared" si="1"/>
        <v>19.59646</v>
      </c>
      <c r="V124" s="5"/>
      <c r="W124" s="5"/>
      <c r="X124" s="5"/>
      <c r="Y124" s="5"/>
      <c r="Z124" s="5"/>
      <c r="AA124" s="5"/>
    </row>
    <row r="125" ht="15.75" customHeight="1">
      <c r="A125" s="6" t="s">
        <v>199</v>
      </c>
      <c r="B125" s="6" t="s">
        <v>283</v>
      </c>
      <c r="C125" s="6" t="s">
        <v>72</v>
      </c>
      <c r="D125" s="6" t="s">
        <v>54</v>
      </c>
      <c r="E125" s="6" t="s">
        <v>284</v>
      </c>
      <c r="F125" s="6" t="s">
        <v>285</v>
      </c>
      <c r="G125" s="7">
        <v>109.03999999999999</v>
      </c>
      <c r="H125" s="6" t="s">
        <v>304</v>
      </c>
      <c r="I125" s="6" t="s">
        <v>48</v>
      </c>
      <c r="J125" s="8">
        <v>249.0</v>
      </c>
      <c r="K125" s="6" t="s">
        <v>74</v>
      </c>
      <c r="L125" s="6" t="s">
        <v>75</v>
      </c>
      <c r="M125" s="6" t="s">
        <v>76</v>
      </c>
      <c r="N125" s="6" t="s">
        <v>58</v>
      </c>
      <c r="O125" s="6" t="s">
        <v>286</v>
      </c>
      <c r="P125" s="8" t="s">
        <v>147</v>
      </c>
      <c r="Q125" s="6" t="s">
        <v>46</v>
      </c>
      <c r="R125" s="6" t="s">
        <v>48</v>
      </c>
      <c r="S125" s="6" t="s">
        <v>48</v>
      </c>
      <c r="T125" s="6" t="s">
        <v>77</v>
      </c>
      <c r="U125" s="5">
        <f t="shared" si="1"/>
        <v>19.20438</v>
      </c>
      <c r="V125" s="5"/>
      <c r="W125" s="5"/>
      <c r="X125" s="5"/>
      <c r="Y125" s="5"/>
      <c r="Z125" s="5"/>
      <c r="AA125" s="5"/>
    </row>
    <row r="126" ht="15.75" customHeight="1">
      <c r="A126" s="6" t="s">
        <v>199</v>
      </c>
      <c r="B126" s="6" t="s">
        <v>283</v>
      </c>
      <c r="C126" s="6" t="s">
        <v>72</v>
      </c>
      <c r="D126" s="6" t="s">
        <v>27</v>
      </c>
      <c r="E126" s="6" t="s">
        <v>284</v>
      </c>
      <c r="F126" s="6" t="s">
        <v>285</v>
      </c>
      <c r="G126" s="7">
        <v>121.8</v>
      </c>
      <c r="H126" s="6" t="s">
        <v>305</v>
      </c>
      <c r="I126" s="6" t="s">
        <v>48</v>
      </c>
      <c r="J126" s="8">
        <v>250.0</v>
      </c>
      <c r="K126" s="6" t="s">
        <v>74</v>
      </c>
      <c r="L126" s="6" t="s">
        <v>75</v>
      </c>
      <c r="M126" s="6" t="s">
        <v>76</v>
      </c>
      <c r="N126" s="6" t="s">
        <v>58</v>
      </c>
      <c r="O126" s="6" t="s">
        <v>286</v>
      </c>
      <c r="P126" s="8" t="s">
        <v>294</v>
      </c>
      <c r="Q126" s="6" t="s">
        <v>46</v>
      </c>
      <c r="R126" s="6" t="s">
        <v>48</v>
      </c>
      <c r="S126" s="6" t="s">
        <v>48</v>
      </c>
      <c r="T126" s="6" t="s">
        <v>77</v>
      </c>
      <c r="U126" s="5">
        <f t="shared" si="1"/>
        <v>19.24585</v>
      </c>
      <c r="V126" s="5"/>
      <c r="W126" s="5"/>
      <c r="X126" s="5"/>
      <c r="Y126" s="5"/>
      <c r="Z126" s="5"/>
      <c r="AA126" s="5"/>
    </row>
    <row r="127" ht="15.75" customHeight="1">
      <c r="A127" s="6" t="s">
        <v>199</v>
      </c>
      <c r="B127" s="6" t="s">
        <v>283</v>
      </c>
      <c r="C127" s="6" t="s">
        <v>72</v>
      </c>
      <c r="D127" s="6" t="s">
        <v>129</v>
      </c>
      <c r="E127" s="6" t="s">
        <v>284</v>
      </c>
      <c r="F127" s="6" t="s">
        <v>285</v>
      </c>
      <c r="G127" s="7">
        <v>160.07999999999998</v>
      </c>
      <c r="H127" s="6" t="s">
        <v>239</v>
      </c>
      <c r="I127" s="6" t="s">
        <v>48</v>
      </c>
      <c r="J127" s="8">
        <v>251.0</v>
      </c>
      <c r="K127" s="6" t="s">
        <v>74</v>
      </c>
      <c r="L127" s="6" t="s">
        <v>75</v>
      </c>
      <c r="M127" s="6" t="s">
        <v>76</v>
      </c>
      <c r="N127" s="6" t="s">
        <v>58</v>
      </c>
      <c r="O127" s="6" t="s">
        <v>286</v>
      </c>
      <c r="P127" s="8" t="s">
        <v>295</v>
      </c>
      <c r="Q127" s="6" t="s">
        <v>46</v>
      </c>
      <c r="R127" s="6" t="s">
        <v>48</v>
      </c>
      <c r="S127" s="6" t="s">
        <v>48</v>
      </c>
      <c r="T127" s="6" t="s">
        <v>77</v>
      </c>
      <c r="U127" s="5">
        <f t="shared" si="1"/>
        <v>19.37026</v>
      </c>
      <c r="V127" s="5"/>
      <c r="W127" s="5"/>
      <c r="X127" s="5"/>
      <c r="Y127" s="5"/>
      <c r="Z127" s="5"/>
      <c r="AA127" s="5"/>
    </row>
    <row r="128" ht="15.75" customHeight="1">
      <c r="A128" s="6" t="s">
        <v>199</v>
      </c>
      <c r="B128" s="6" t="s">
        <v>306</v>
      </c>
      <c r="C128" s="6" t="s">
        <v>26</v>
      </c>
      <c r="D128" s="6" t="s">
        <v>27</v>
      </c>
      <c r="E128" s="6" t="s">
        <v>307</v>
      </c>
      <c r="F128" s="6" t="s">
        <v>308</v>
      </c>
      <c r="G128" s="7">
        <v>139.2</v>
      </c>
      <c r="H128" s="6" t="s">
        <v>309</v>
      </c>
      <c r="I128" s="6" t="s">
        <v>31</v>
      </c>
      <c r="J128" s="8">
        <v>2003.0</v>
      </c>
      <c r="K128" s="6" t="s">
        <v>36</v>
      </c>
      <c r="L128" s="6" t="s">
        <v>38</v>
      </c>
      <c r="M128" s="6" t="s">
        <v>39</v>
      </c>
      <c r="N128" s="6" t="s">
        <v>41</v>
      </c>
      <c r="O128" s="6" t="s">
        <v>310</v>
      </c>
      <c r="P128" s="8" t="s">
        <v>311</v>
      </c>
      <c r="Q128" s="6" t="s">
        <v>46</v>
      </c>
      <c r="R128" s="6" t="s">
        <v>48</v>
      </c>
      <c r="S128" s="6" t="s">
        <v>48</v>
      </c>
      <c r="T128" s="6" t="s">
        <v>51</v>
      </c>
      <c r="U128" s="5">
        <f t="shared" si="1"/>
        <v>19.3024</v>
      </c>
      <c r="V128" s="5"/>
      <c r="W128" s="5"/>
      <c r="X128" s="5"/>
      <c r="Y128" s="5"/>
      <c r="Z128" s="5"/>
      <c r="AA128" s="5"/>
    </row>
    <row r="129" ht="15.75" customHeight="1">
      <c r="A129" s="6" t="s">
        <v>199</v>
      </c>
      <c r="B129" s="6" t="s">
        <v>306</v>
      </c>
      <c r="C129" s="6" t="s">
        <v>53</v>
      </c>
      <c r="D129" s="6" t="s">
        <v>54</v>
      </c>
      <c r="E129" s="6" t="s">
        <v>307</v>
      </c>
      <c r="F129" s="6" t="s">
        <v>308</v>
      </c>
      <c r="G129" s="7">
        <v>243.6</v>
      </c>
      <c r="H129" s="6" t="s">
        <v>312</v>
      </c>
      <c r="I129" s="6" t="s">
        <v>84</v>
      </c>
      <c r="J129" s="8">
        <v>539.0</v>
      </c>
      <c r="K129" s="6" t="s">
        <v>85</v>
      </c>
      <c r="L129" s="6" t="s">
        <v>86</v>
      </c>
      <c r="M129" s="6" t="s">
        <v>57</v>
      </c>
      <c r="N129" s="6" t="s">
        <v>58</v>
      </c>
      <c r="O129" s="6" t="s">
        <v>310</v>
      </c>
      <c r="P129" s="8" t="s">
        <v>313</v>
      </c>
      <c r="Q129" s="6" t="s">
        <v>46</v>
      </c>
      <c r="R129" s="6" t="s">
        <v>48</v>
      </c>
      <c r="S129" s="6" t="s">
        <v>48</v>
      </c>
      <c r="T129" s="6" t="s">
        <v>88</v>
      </c>
      <c r="U129" s="5">
        <f t="shared" si="1"/>
        <v>19.6417</v>
      </c>
      <c r="V129" s="5"/>
      <c r="W129" s="5"/>
      <c r="X129" s="5"/>
      <c r="Y129" s="5"/>
      <c r="Z129" s="5"/>
      <c r="AA129" s="5"/>
    </row>
    <row r="130" ht="15.75" customHeight="1">
      <c r="A130" s="6" t="s">
        <v>199</v>
      </c>
      <c r="B130" s="6" t="s">
        <v>306</v>
      </c>
      <c r="C130" s="6" t="s">
        <v>62</v>
      </c>
      <c r="D130" s="6" t="s">
        <v>27</v>
      </c>
      <c r="E130" s="6" t="s">
        <v>307</v>
      </c>
      <c r="F130" s="6" t="s">
        <v>308</v>
      </c>
      <c r="G130" s="7">
        <v>127.6</v>
      </c>
      <c r="H130" s="6" t="s">
        <v>83</v>
      </c>
      <c r="I130" s="6" t="s">
        <v>48</v>
      </c>
      <c r="J130" s="8">
        <v>304.0</v>
      </c>
      <c r="K130" s="6" t="s">
        <v>62</v>
      </c>
      <c r="L130" s="6" t="s">
        <v>69</v>
      </c>
      <c r="M130" s="6" t="s">
        <v>70</v>
      </c>
      <c r="N130" s="6" t="s">
        <v>58</v>
      </c>
      <c r="O130" s="6" t="s">
        <v>310</v>
      </c>
      <c r="P130" s="8" t="s">
        <v>314</v>
      </c>
      <c r="Q130" s="6" t="s">
        <v>46</v>
      </c>
      <c r="R130" s="6" t="s">
        <v>48</v>
      </c>
      <c r="S130" s="6" t="s">
        <v>48</v>
      </c>
      <c r="T130" s="6" t="s">
        <v>52</v>
      </c>
      <c r="U130" s="5">
        <f t="shared" si="1"/>
        <v>19.2647</v>
      </c>
      <c r="V130" s="5"/>
      <c r="W130" s="5"/>
      <c r="X130" s="5"/>
      <c r="Y130" s="5"/>
      <c r="Z130" s="5"/>
      <c r="AA130" s="5"/>
    </row>
    <row r="131" ht="15.75" customHeight="1">
      <c r="A131" s="6" t="s">
        <v>199</v>
      </c>
      <c r="B131" s="6" t="s">
        <v>306</v>
      </c>
      <c r="C131" s="6" t="s">
        <v>72</v>
      </c>
      <c r="D131" s="6" t="s">
        <v>54</v>
      </c>
      <c r="E131" s="6" t="s">
        <v>307</v>
      </c>
      <c r="F131" s="6" t="s">
        <v>308</v>
      </c>
      <c r="G131" s="7">
        <v>133.39999999999998</v>
      </c>
      <c r="H131" s="6" t="s">
        <v>83</v>
      </c>
      <c r="I131" s="6" t="s">
        <v>48</v>
      </c>
      <c r="J131" s="8">
        <v>3163.0</v>
      </c>
      <c r="K131" s="6" t="s">
        <v>74</v>
      </c>
      <c r="L131" s="6" t="s">
        <v>75</v>
      </c>
      <c r="M131" s="6" t="s">
        <v>76</v>
      </c>
      <c r="N131" s="6" t="s">
        <v>58</v>
      </c>
      <c r="O131" s="6" t="s">
        <v>310</v>
      </c>
      <c r="P131" s="8" t="s">
        <v>313</v>
      </c>
      <c r="Q131" s="6" t="s">
        <v>46</v>
      </c>
      <c r="R131" s="6" t="s">
        <v>48</v>
      </c>
      <c r="S131" s="6" t="s">
        <v>48</v>
      </c>
      <c r="T131" s="6" t="s">
        <v>77</v>
      </c>
      <c r="U131" s="5">
        <f t="shared" si="1"/>
        <v>19.28355</v>
      </c>
      <c r="V131" s="5"/>
      <c r="W131" s="5"/>
      <c r="X131" s="5"/>
      <c r="Y131" s="5"/>
      <c r="Z131" s="5"/>
      <c r="AA131" s="5"/>
    </row>
    <row r="132" ht="15.75" customHeight="1">
      <c r="A132" s="6" t="s">
        <v>199</v>
      </c>
      <c r="B132" s="6" t="s">
        <v>306</v>
      </c>
      <c r="C132" s="6" t="s">
        <v>72</v>
      </c>
      <c r="D132" s="6" t="s">
        <v>27</v>
      </c>
      <c r="E132" s="6" t="s">
        <v>307</v>
      </c>
      <c r="F132" s="6" t="s">
        <v>308</v>
      </c>
      <c r="G132" s="7">
        <v>139.2</v>
      </c>
      <c r="H132" s="6" t="s">
        <v>130</v>
      </c>
      <c r="I132" s="6" t="s">
        <v>48</v>
      </c>
      <c r="J132" s="8">
        <v>308.0</v>
      </c>
      <c r="K132" s="6" t="s">
        <v>74</v>
      </c>
      <c r="L132" s="6" t="s">
        <v>75</v>
      </c>
      <c r="M132" s="6" t="s">
        <v>76</v>
      </c>
      <c r="N132" s="6" t="s">
        <v>58</v>
      </c>
      <c r="O132" s="6" t="s">
        <v>310</v>
      </c>
      <c r="P132" s="8" t="s">
        <v>314</v>
      </c>
      <c r="Q132" s="6" t="s">
        <v>46</v>
      </c>
      <c r="R132" s="6" t="s">
        <v>48</v>
      </c>
      <c r="S132" s="6" t="s">
        <v>48</v>
      </c>
      <c r="T132" s="6" t="s">
        <v>77</v>
      </c>
      <c r="U132" s="5">
        <f t="shared" si="1"/>
        <v>19.3024</v>
      </c>
      <c r="V132" s="5"/>
      <c r="W132" s="5"/>
      <c r="X132" s="5"/>
      <c r="Y132" s="5"/>
      <c r="Z132" s="5"/>
      <c r="AA132" s="5"/>
    </row>
    <row r="133" ht="15.75" customHeight="1">
      <c r="A133" s="6" t="s">
        <v>315</v>
      </c>
      <c r="B133" s="6" t="s">
        <v>316</v>
      </c>
      <c r="C133" s="6" t="s">
        <v>26</v>
      </c>
      <c r="D133" s="6" t="s">
        <v>129</v>
      </c>
      <c r="E133" s="6" t="s">
        <v>317</v>
      </c>
      <c r="F133" s="6" t="s">
        <v>318</v>
      </c>
      <c r="G133" s="7">
        <v>280.71999999999997</v>
      </c>
      <c r="H133" s="6" t="s">
        <v>319</v>
      </c>
      <c r="I133" s="6" t="s">
        <v>37</v>
      </c>
      <c r="J133" s="8">
        <v>542.0</v>
      </c>
      <c r="K133" s="6" t="s">
        <v>40</v>
      </c>
      <c r="L133" s="6" t="s">
        <v>42</v>
      </c>
      <c r="M133" s="6" t="s">
        <v>44</v>
      </c>
      <c r="N133" s="6" t="s">
        <v>41</v>
      </c>
      <c r="O133" s="6" t="s">
        <v>320</v>
      </c>
      <c r="P133" s="8" t="s">
        <v>321</v>
      </c>
      <c r="Q133" s="6" t="s">
        <v>46</v>
      </c>
      <c r="R133" s="6" t="s">
        <v>48</v>
      </c>
      <c r="S133" s="6" t="s">
        <v>48</v>
      </c>
      <c r="T133" s="6" t="s">
        <v>52</v>
      </c>
      <c r="U133" s="5">
        <f t="shared" si="1"/>
        <v>19.76234</v>
      </c>
      <c r="V133" s="5"/>
      <c r="W133" s="5"/>
      <c r="X133" s="5"/>
      <c r="Y133" s="5"/>
      <c r="Z133" s="5"/>
      <c r="AA133" s="5"/>
    </row>
    <row r="134" ht="15.75" customHeight="1">
      <c r="A134" s="6" t="s">
        <v>315</v>
      </c>
      <c r="B134" s="6" t="s">
        <v>316</v>
      </c>
      <c r="C134" s="6" t="s">
        <v>26</v>
      </c>
      <c r="D134" s="6" t="s">
        <v>27</v>
      </c>
      <c r="E134" s="6" t="s">
        <v>317</v>
      </c>
      <c r="F134" s="6" t="s">
        <v>318</v>
      </c>
      <c r="G134" s="7">
        <v>147.32</v>
      </c>
      <c r="H134" s="6" t="s">
        <v>322</v>
      </c>
      <c r="I134" s="6" t="s">
        <v>31</v>
      </c>
      <c r="J134" s="8">
        <v>942.0</v>
      </c>
      <c r="K134" s="6" t="s">
        <v>36</v>
      </c>
      <c r="L134" s="6" t="s">
        <v>38</v>
      </c>
      <c r="M134" s="6" t="s">
        <v>39</v>
      </c>
      <c r="N134" s="6" t="s">
        <v>41</v>
      </c>
      <c r="O134" s="6" t="s">
        <v>320</v>
      </c>
      <c r="P134" s="8" t="s">
        <v>323</v>
      </c>
      <c r="Q134" s="6" t="s">
        <v>46</v>
      </c>
      <c r="R134" s="6" t="s">
        <v>48</v>
      </c>
      <c r="S134" s="6" t="s">
        <v>48</v>
      </c>
      <c r="T134" s="6" t="s">
        <v>51</v>
      </c>
      <c r="U134" s="5">
        <f t="shared" si="1"/>
        <v>19.32879</v>
      </c>
      <c r="V134" s="5"/>
      <c r="W134" s="5"/>
      <c r="X134" s="5"/>
      <c r="Y134" s="5"/>
      <c r="Z134" s="5"/>
      <c r="AA134" s="5"/>
    </row>
    <row r="135" ht="15.75" customHeight="1">
      <c r="A135" s="6" t="s">
        <v>315</v>
      </c>
      <c r="B135" s="6" t="s">
        <v>316</v>
      </c>
      <c r="C135" s="6" t="s">
        <v>53</v>
      </c>
      <c r="D135" s="6" t="s">
        <v>54</v>
      </c>
      <c r="E135" s="6" t="s">
        <v>317</v>
      </c>
      <c r="F135" s="6" t="s">
        <v>318</v>
      </c>
      <c r="G135" s="7">
        <v>306.23999999999995</v>
      </c>
      <c r="H135" s="6" t="s">
        <v>219</v>
      </c>
      <c r="I135" s="6" t="s">
        <v>84</v>
      </c>
      <c r="J135" s="8">
        <v>47.0</v>
      </c>
      <c r="K135" s="6" t="s">
        <v>85</v>
      </c>
      <c r="L135" s="6" t="s">
        <v>86</v>
      </c>
      <c r="M135" s="6" t="s">
        <v>57</v>
      </c>
      <c r="N135" s="6" t="s">
        <v>58</v>
      </c>
      <c r="O135" s="6" t="s">
        <v>320</v>
      </c>
      <c r="P135" s="8" t="s">
        <v>324</v>
      </c>
      <c r="Q135" s="6" t="s">
        <v>46</v>
      </c>
      <c r="R135" s="6" t="s">
        <v>48</v>
      </c>
      <c r="S135" s="6" t="s">
        <v>48</v>
      </c>
      <c r="T135" s="6" t="s">
        <v>88</v>
      </c>
      <c r="U135" s="5">
        <f t="shared" si="1"/>
        <v>19.84528</v>
      </c>
      <c r="V135" s="5"/>
      <c r="W135" s="5"/>
      <c r="X135" s="5"/>
      <c r="Y135" s="5"/>
      <c r="Z135" s="5"/>
      <c r="AA135" s="5"/>
    </row>
    <row r="136" ht="15.75" customHeight="1">
      <c r="A136" s="6" t="s">
        <v>315</v>
      </c>
      <c r="B136" s="6" t="s">
        <v>316</v>
      </c>
      <c r="C136" s="6" t="s">
        <v>72</v>
      </c>
      <c r="D136" s="6" t="s">
        <v>54</v>
      </c>
      <c r="E136" s="6" t="s">
        <v>317</v>
      </c>
      <c r="F136" s="6" t="s">
        <v>318</v>
      </c>
      <c r="G136" s="7">
        <v>109.03999999999999</v>
      </c>
      <c r="H136" s="6" t="s">
        <v>325</v>
      </c>
      <c r="I136" s="6" t="s">
        <v>48</v>
      </c>
      <c r="J136" s="8">
        <v>324.0</v>
      </c>
      <c r="K136" s="6" t="s">
        <v>74</v>
      </c>
      <c r="L136" s="6" t="s">
        <v>75</v>
      </c>
      <c r="M136" s="6" t="s">
        <v>76</v>
      </c>
      <c r="N136" s="6" t="s">
        <v>58</v>
      </c>
      <c r="O136" s="6" t="s">
        <v>320</v>
      </c>
      <c r="P136" s="8" t="s">
        <v>324</v>
      </c>
      <c r="Q136" s="6" t="s">
        <v>46</v>
      </c>
      <c r="R136" s="6" t="s">
        <v>48</v>
      </c>
      <c r="S136" s="6" t="s">
        <v>48</v>
      </c>
      <c r="T136" s="6" t="s">
        <v>77</v>
      </c>
      <c r="U136" s="5">
        <f t="shared" si="1"/>
        <v>19.20438</v>
      </c>
      <c r="V136" s="5"/>
      <c r="W136" s="5"/>
      <c r="X136" s="5"/>
      <c r="Y136" s="5"/>
      <c r="Z136" s="5"/>
      <c r="AA136" s="5"/>
    </row>
    <row r="137" ht="15.75" customHeight="1">
      <c r="A137" s="6" t="s">
        <v>315</v>
      </c>
      <c r="B137" s="6" t="s">
        <v>326</v>
      </c>
      <c r="C137" s="6" t="s">
        <v>26</v>
      </c>
      <c r="D137" s="6" t="s">
        <v>27</v>
      </c>
      <c r="E137" s="6" t="s">
        <v>327</v>
      </c>
      <c r="F137" s="6" t="s">
        <v>328</v>
      </c>
      <c r="G137" s="7">
        <v>147.32</v>
      </c>
      <c r="H137" s="6" t="s">
        <v>329</v>
      </c>
      <c r="I137" s="6" t="s">
        <v>31</v>
      </c>
      <c r="J137" s="8">
        <v>941.0</v>
      </c>
      <c r="K137" s="6" t="s">
        <v>36</v>
      </c>
      <c r="L137" s="6" t="s">
        <v>38</v>
      </c>
      <c r="M137" s="6" t="s">
        <v>39</v>
      </c>
      <c r="N137" s="6" t="s">
        <v>41</v>
      </c>
      <c r="O137" s="6" t="s">
        <v>330</v>
      </c>
      <c r="P137" s="8" t="s">
        <v>331</v>
      </c>
      <c r="Q137" s="6" t="s">
        <v>46</v>
      </c>
      <c r="R137" s="6" t="s">
        <v>48</v>
      </c>
      <c r="S137" s="6" t="s">
        <v>48</v>
      </c>
      <c r="T137" s="6" t="s">
        <v>51</v>
      </c>
      <c r="U137" s="5">
        <f t="shared" si="1"/>
        <v>19.32879</v>
      </c>
      <c r="V137" s="5"/>
      <c r="W137" s="5"/>
      <c r="X137" s="5"/>
      <c r="Y137" s="5"/>
      <c r="Z137" s="5"/>
      <c r="AA137" s="5"/>
    </row>
    <row r="138" ht="15.75" customHeight="1">
      <c r="A138" s="6" t="s">
        <v>315</v>
      </c>
      <c r="B138" s="6" t="s">
        <v>326</v>
      </c>
      <c r="C138" s="6" t="s">
        <v>53</v>
      </c>
      <c r="D138" s="6" t="s">
        <v>54</v>
      </c>
      <c r="E138" s="6" t="s">
        <v>327</v>
      </c>
      <c r="F138" s="6" t="s">
        <v>328</v>
      </c>
      <c r="G138" s="7">
        <v>306.23999999999995</v>
      </c>
      <c r="H138" s="6" t="s">
        <v>83</v>
      </c>
      <c r="I138" s="6" t="s">
        <v>84</v>
      </c>
      <c r="J138" s="8">
        <v>1074.0</v>
      </c>
      <c r="K138" s="6" t="s">
        <v>85</v>
      </c>
      <c r="L138" s="6" t="s">
        <v>86</v>
      </c>
      <c r="M138" s="6" t="s">
        <v>57</v>
      </c>
      <c r="N138" s="6" t="s">
        <v>58</v>
      </c>
      <c r="O138" s="6" t="s">
        <v>330</v>
      </c>
      <c r="P138" s="8" t="s">
        <v>332</v>
      </c>
      <c r="Q138" s="6" t="s">
        <v>46</v>
      </c>
      <c r="R138" s="6" t="s">
        <v>48</v>
      </c>
      <c r="S138" s="6" t="s">
        <v>48</v>
      </c>
      <c r="T138" s="6" t="s">
        <v>88</v>
      </c>
      <c r="U138" s="5">
        <f t="shared" si="1"/>
        <v>19.84528</v>
      </c>
      <c r="V138" s="5"/>
      <c r="W138" s="5"/>
      <c r="X138" s="5"/>
      <c r="Y138" s="5"/>
      <c r="Z138" s="5"/>
      <c r="AA138" s="5"/>
    </row>
    <row r="139" ht="15.75" customHeight="1">
      <c r="A139" s="6" t="s">
        <v>315</v>
      </c>
      <c r="B139" s="6" t="s">
        <v>333</v>
      </c>
      <c r="C139" s="6" t="s">
        <v>26</v>
      </c>
      <c r="D139" s="6" t="s">
        <v>27</v>
      </c>
      <c r="E139" s="6" t="s">
        <v>334</v>
      </c>
      <c r="F139" s="6" t="s">
        <v>335</v>
      </c>
      <c r="G139" s="7">
        <v>147.32</v>
      </c>
      <c r="H139" s="6" t="s">
        <v>280</v>
      </c>
      <c r="I139" s="6" t="s">
        <v>31</v>
      </c>
      <c r="J139" s="8">
        <v>806.0</v>
      </c>
      <c r="K139" s="6" t="s">
        <v>36</v>
      </c>
      <c r="L139" s="6" t="s">
        <v>38</v>
      </c>
      <c r="M139" s="6" t="s">
        <v>39</v>
      </c>
      <c r="N139" s="6" t="s">
        <v>41</v>
      </c>
      <c r="O139" s="6" t="s">
        <v>336</v>
      </c>
      <c r="P139" s="8" t="s">
        <v>337</v>
      </c>
      <c r="Q139" s="6" t="s">
        <v>46</v>
      </c>
      <c r="R139" s="6" t="s">
        <v>48</v>
      </c>
      <c r="S139" s="6" t="s">
        <v>48</v>
      </c>
      <c r="T139" s="6" t="s">
        <v>51</v>
      </c>
      <c r="U139" s="5">
        <f t="shared" si="1"/>
        <v>19.32879</v>
      </c>
      <c r="V139" s="5"/>
      <c r="W139" s="5"/>
      <c r="X139" s="5"/>
      <c r="Y139" s="5"/>
      <c r="Z139" s="5"/>
      <c r="AA139" s="5"/>
    </row>
    <row r="140" ht="15.75" customHeight="1">
      <c r="A140" s="6" t="s">
        <v>315</v>
      </c>
      <c r="B140" s="6" t="s">
        <v>333</v>
      </c>
      <c r="C140" s="6" t="s">
        <v>53</v>
      </c>
      <c r="D140" s="6" t="s">
        <v>54</v>
      </c>
      <c r="E140" s="6" t="s">
        <v>334</v>
      </c>
      <c r="F140" s="6" t="s">
        <v>335</v>
      </c>
      <c r="G140" s="7">
        <v>306.23999999999995</v>
      </c>
      <c r="H140" s="6" t="s">
        <v>338</v>
      </c>
      <c r="I140" s="6" t="s">
        <v>84</v>
      </c>
      <c r="J140" s="8">
        <v>1106.0</v>
      </c>
      <c r="K140" s="6" t="s">
        <v>85</v>
      </c>
      <c r="L140" s="6" t="s">
        <v>86</v>
      </c>
      <c r="M140" s="6" t="s">
        <v>57</v>
      </c>
      <c r="N140" s="6" t="s">
        <v>58</v>
      </c>
      <c r="O140" s="6" t="s">
        <v>336</v>
      </c>
      <c r="P140" s="8" t="s">
        <v>339</v>
      </c>
      <c r="Q140" s="6" t="s">
        <v>46</v>
      </c>
      <c r="R140" s="6" t="s">
        <v>48</v>
      </c>
      <c r="S140" s="6" t="s">
        <v>48</v>
      </c>
      <c r="T140" s="6" t="s">
        <v>88</v>
      </c>
      <c r="U140" s="5">
        <f t="shared" si="1"/>
        <v>19.84528</v>
      </c>
      <c r="V140" s="5"/>
      <c r="W140" s="5"/>
      <c r="X140" s="5"/>
      <c r="Y140" s="5"/>
      <c r="Z140" s="5"/>
      <c r="AA140" s="5"/>
    </row>
    <row r="141" ht="15.75" customHeight="1">
      <c r="A141" s="6" t="s">
        <v>315</v>
      </c>
      <c r="B141" s="6" t="s">
        <v>340</v>
      </c>
      <c r="C141" s="6" t="s">
        <v>26</v>
      </c>
      <c r="D141" s="6" t="s">
        <v>27</v>
      </c>
      <c r="E141" s="6" t="s">
        <v>341</v>
      </c>
      <c r="F141" s="6" t="s">
        <v>342</v>
      </c>
      <c r="G141" s="7">
        <v>150.79999999999998</v>
      </c>
      <c r="H141" s="6" t="s">
        <v>343</v>
      </c>
      <c r="I141" s="6" t="s">
        <v>31</v>
      </c>
      <c r="J141" s="8">
        <v>347.0</v>
      </c>
      <c r="K141" s="6" t="s">
        <v>36</v>
      </c>
      <c r="L141" s="6" t="s">
        <v>38</v>
      </c>
      <c r="M141" s="6" t="s">
        <v>39</v>
      </c>
      <c r="N141" s="6" t="s">
        <v>41</v>
      </c>
      <c r="O141" s="6" t="s">
        <v>344</v>
      </c>
      <c r="P141" s="8" t="s">
        <v>345</v>
      </c>
      <c r="Q141" s="6" t="s">
        <v>46</v>
      </c>
      <c r="R141" s="6" t="s">
        <v>48</v>
      </c>
      <c r="S141" s="6" t="s">
        <v>48</v>
      </c>
      <c r="T141" s="6" t="s">
        <v>51</v>
      </c>
      <c r="U141" s="5">
        <f t="shared" si="1"/>
        <v>19.3401</v>
      </c>
      <c r="V141" s="5"/>
      <c r="W141" s="5"/>
      <c r="X141" s="5"/>
      <c r="Y141" s="5"/>
      <c r="Z141" s="5"/>
      <c r="AA141" s="5"/>
    </row>
    <row r="142" ht="15.75" customHeight="1">
      <c r="A142" s="6" t="s">
        <v>315</v>
      </c>
      <c r="B142" s="6" t="s">
        <v>340</v>
      </c>
      <c r="C142" s="6" t="s">
        <v>53</v>
      </c>
      <c r="D142" s="6" t="s">
        <v>54</v>
      </c>
      <c r="E142" s="6" t="s">
        <v>341</v>
      </c>
      <c r="F142" s="6" t="s">
        <v>342</v>
      </c>
      <c r="G142" s="7">
        <v>266.79999999999995</v>
      </c>
      <c r="H142" s="6" t="s">
        <v>197</v>
      </c>
      <c r="I142" s="6" t="s">
        <v>84</v>
      </c>
      <c r="J142" s="8">
        <v>981.0</v>
      </c>
      <c r="K142" s="6" t="s">
        <v>85</v>
      </c>
      <c r="L142" s="6" t="s">
        <v>86</v>
      </c>
      <c r="M142" s="6" t="s">
        <v>57</v>
      </c>
      <c r="N142" s="6" t="s">
        <v>58</v>
      </c>
      <c r="O142" s="6" t="s">
        <v>344</v>
      </c>
      <c r="P142" s="8" t="s">
        <v>346</v>
      </c>
      <c r="Q142" s="6" t="s">
        <v>46</v>
      </c>
      <c r="R142" s="6" t="s">
        <v>48</v>
      </c>
      <c r="S142" s="6" t="s">
        <v>48</v>
      </c>
      <c r="T142" s="6" t="s">
        <v>88</v>
      </c>
      <c r="U142" s="5">
        <f t="shared" si="1"/>
        <v>19.7171</v>
      </c>
      <c r="V142" s="5"/>
      <c r="W142" s="5"/>
      <c r="X142" s="5"/>
      <c r="Y142" s="5"/>
      <c r="Z142" s="5"/>
      <c r="AA142" s="5"/>
    </row>
    <row r="143" ht="15.75" customHeight="1">
      <c r="A143" s="6" t="s">
        <v>347</v>
      </c>
      <c r="B143" s="6" t="s">
        <v>348</v>
      </c>
      <c r="C143" s="6" t="s">
        <v>26</v>
      </c>
      <c r="D143" s="6" t="s">
        <v>27</v>
      </c>
      <c r="E143" s="6" t="s">
        <v>349</v>
      </c>
      <c r="F143" s="6" t="s">
        <v>350</v>
      </c>
      <c r="G143" s="7">
        <v>153.11999999999998</v>
      </c>
      <c r="H143" s="6" t="s">
        <v>300</v>
      </c>
      <c r="I143" s="6" t="s">
        <v>31</v>
      </c>
      <c r="J143" s="8">
        <v>1289.0</v>
      </c>
      <c r="K143" s="6" t="s">
        <v>36</v>
      </c>
      <c r="L143" s="6" t="s">
        <v>38</v>
      </c>
      <c r="M143" s="6" t="s">
        <v>39</v>
      </c>
      <c r="N143" s="6" t="s">
        <v>41</v>
      </c>
      <c r="O143" s="6" t="s">
        <v>351</v>
      </c>
      <c r="P143" s="8" t="s">
        <v>352</v>
      </c>
      <c r="Q143" s="6" t="s">
        <v>46</v>
      </c>
      <c r="R143" s="6" t="s">
        <v>48</v>
      </c>
      <c r="S143" s="6" t="s">
        <v>48</v>
      </c>
      <c r="T143" s="6" t="s">
        <v>51</v>
      </c>
      <c r="U143" s="5">
        <f t="shared" si="1"/>
        <v>19.34764</v>
      </c>
      <c r="V143" s="5"/>
      <c r="W143" s="5"/>
      <c r="X143" s="5"/>
      <c r="Y143" s="5"/>
      <c r="Z143" s="5"/>
      <c r="AA143" s="5"/>
    </row>
    <row r="144" ht="15.75" customHeight="1">
      <c r="A144" s="6" t="s">
        <v>347</v>
      </c>
      <c r="B144" s="6" t="s">
        <v>348</v>
      </c>
      <c r="C144" s="6" t="s">
        <v>53</v>
      </c>
      <c r="D144" s="6" t="s">
        <v>54</v>
      </c>
      <c r="E144" s="6" t="s">
        <v>349</v>
      </c>
      <c r="F144" s="6" t="s">
        <v>350</v>
      </c>
      <c r="G144" s="7">
        <v>331.76</v>
      </c>
      <c r="H144" s="6" t="s">
        <v>175</v>
      </c>
      <c r="I144" s="6" t="s">
        <v>84</v>
      </c>
      <c r="J144" s="8">
        <v>3368.0</v>
      </c>
      <c r="K144" s="6" t="s">
        <v>85</v>
      </c>
      <c r="L144" s="6" t="s">
        <v>86</v>
      </c>
      <c r="M144" s="6" t="s">
        <v>57</v>
      </c>
      <c r="N144" s="6" t="s">
        <v>58</v>
      </c>
      <c r="O144" s="6" t="s">
        <v>351</v>
      </c>
      <c r="P144" s="8" t="s">
        <v>353</v>
      </c>
      <c r="Q144" s="6" t="s">
        <v>46</v>
      </c>
      <c r="R144" s="6" t="s">
        <v>48</v>
      </c>
      <c r="S144" s="6" t="s">
        <v>48</v>
      </c>
      <c r="T144" s="6" t="s">
        <v>88</v>
      </c>
      <c r="U144" s="5">
        <f t="shared" si="1"/>
        <v>19.92822</v>
      </c>
      <c r="V144" s="5"/>
      <c r="W144" s="5"/>
      <c r="X144" s="5"/>
      <c r="Y144" s="5"/>
      <c r="Z144" s="5"/>
      <c r="AA144" s="5"/>
    </row>
    <row r="145" ht="15.75" customHeight="1">
      <c r="A145" s="6" t="s">
        <v>347</v>
      </c>
      <c r="B145" s="6" t="s">
        <v>354</v>
      </c>
      <c r="C145" s="6" t="s">
        <v>26</v>
      </c>
      <c r="D145" s="6" t="s">
        <v>27</v>
      </c>
      <c r="E145" s="6" t="s">
        <v>355</v>
      </c>
      <c r="F145" s="6" t="s">
        <v>356</v>
      </c>
      <c r="G145" s="7">
        <v>156.6</v>
      </c>
      <c r="H145" s="6" t="s">
        <v>64</v>
      </c>
      <c r="I145" s="6" t="s">
        <v>31</v>
      </c>
      <c r="J145" s="8">
        <v>1997.0</v>
      </c>
      <c r="K145" s="6" t="s">
        <v>36</v>
      </c>
      <c r="L145" s="6" t="s">
        <v>38</v>
      </c>
      <c r="M145" s="6" t="s">
        <v>39</v>
      </c>
      <c r="N145" s="6" t="s">
        <v>41</v>
      </c>
      <c r="O145" s="6" t="s">
        <v>357</v>
      </c>
      <c r="P145" s="8" t="s">
        <v>358</v>
      </c>
      <c r="Q145" s="6" t="s">
        <v>359</v>
      </c>
      <c r="R145" s="6" t="s">
        <v>48</v>
      </c>
      <c r="S145" s="6" t="s">
        <v>48</v>
      </c>
      <c r="T145" s="6" t="s">
        <v>51</v>
      </c>
      <c r="U145" s="5">
        <f t="shared" si="1"/>
        <v>19.35895</v>
      </c>
      <c r="V145" s="5"/>
      <c r="W145" s="5"/>
      <c r="X145" s="5"/>
      <c r="Y145" s="5"/>
      <c r="Z145" s="5"/>
      <c r="AA145" s="5"/>
    </row>
    <row r="146" ht="15.75" customHeight="1">
      <c r="A146" s="6" t="s">
        <v>347</v>
      </c>
      <c r="B146" s="6" t="s">
        <v>354</v>
      </c>
      <c r="C146" s="6" t="s">
        <v>53</v>
      </c>
      <c r="D146" s="6" t="s">
        <v>54</v>
      </c>
      <c r="E146" s="6" t="s">
        <v>355</v>
      </c>
      <c r="F146" s="6" t="s">
        <v>356</v>
      </c>
      <c r="G146" s="7">
        <v>348.0</v>
      </c>
      <c r="H146" s="6" t="s">
        <v>360</v>
      </c>
      <c r="I146" s="6" t="s">
        <v>84</v>
      </c>
      <c r="J146" s="8">
        <v>868.0</v>
      </c>
      <c r="K146" s="6" t="s">
        <v>85</v>
      </c>
      <c r="L146" s="6" t="s">
        <v>86</v>
      </c>
      <c r="M146" s="6" t="s">
        <v>57</v>
      </c>
      <c r="N146" s="6" t="s">
        <v>58</v>
      </c>
      <c r="O146" s="6" t="s">
        <v>357</v>
      </c>
      <c r="P146" s="8" t="s">
        <v>361</v>
      </c>
      <c r="Q146" s="6" t="s">
        <v>359</v>
      </c>
      <c r="R146" s="6" t="s">
        <v>48</v>
      </c>
      <c r="S146" s="6" t="s">
        <v>48</v>
      </c>
      <c r="T146" s="6" t="s">
        <v>88</v>
      </c>
      <c r="U146" s="5">
        <f t="shared" si="1"/>
        <v>19.981</v>
      </c>
      <c r="V146" s="5"/>
      <c r="W146" s="5"/>
      <c r="X146" s="5"/>
      <c r="Y146" s="5"/>
      <c r="Z146" s="5"/>
      <c r="AA146" s="5"/>
    </row>
    <row r="147" ht="15.75" customHeight="1">
      <c r="A147" s="6" t="s">
        <v>347</v>
      </c>
      <c r="B147" s="6" t="s">
        <v>362</v>
      </c>
      <c r="C147" s="6" t="s">
        <v>26</v>
      </c>
      <c r="D147" s="6" t="s">
        <v>27</v>
      </c>
      <c r="E147" s="6" t="s">
        <v>363</v>
      </c>
      <c r="F147" s="6" t="s">
        <v>364</v>
      </c>
      <c r="G147" s="7">
        <v>156.6</v>
      </c>
      <c r="H147" s="6" t="s">
        <v>83</v>
      </c>
      <c r="I147" s="6" t="s">
        <v>31</v>
      </c>
      <c r="J147" s="8">
        <v>12473.0</v>
      </c>
      <c r="K147" s="6" t="s">
        <v>36</v>
      </c>
      <c r="L147" s="6" t="s">
        <v>38</v>
      </c>
      <c r="M147" s="6" t="s">
        <v>39</v>
      </c>
      <c r="N147" s="6" t="s">
        <v>41</v>
      </c>
      <c r="O147" s="6" t="s">
        <v>365</v>
      </c>
      <c r="P147" s="8" t="s">
        <v>366</v>
      </c>
      <c r="Q147" s="6" t="s">
        <v>359</v>
      </c>
      <c r="R147" s="6" t="s">
        <v>48</v>
      </c>
      <c r="S147" s="6" t="s">
        <v>48</v>
      </c>
      <c r="T147" s="6" t="s">
        <v>51</v>
      </c>
      <c r="U147" s="5">
        <f t="shared" si="1"/>
        <v>19.35895</v>
      </c>
      <c r="V147" s="5"/>
      <c r="W147" s="5"/>
      <c r="X147" s="5"/>
      <c r="Y147" s="5"/>
      <c r="Z147" s="5"/>
      <c r="AA147" s="5"/>
    </row>
    <row r="148" ht="15.75" customHeight="1">
      <c r="A148" s="6" t="s">
        <v>347</v>
      </c>
      <c r="B148" s="6" t="s">
        <v>362</v>
      </c>
      <c r="C148" s="6" t="s">
        <v>53</v>
      </c>
      <c r="D148" s="6" t="s">
        <v>54</v>
      </c>
      <c r="E148" s="6" t="s">
        <v>363</v>
      </c>
      <c r="F148" s="6" t="s">
        <v>364</v>
      </c>
      <c r="G148" s="7">
        <v>348.0</v>
      </c>
      <c r="H148" s="6" t="s">
        <v>367</v>
      </c>
      <c r="I148" s="6" t="s">
        <v>84</v>
      </c>
      <c r="J148" s="8">
        <v>872.0</v>
      </c>
      <c r="K148" s="6" t="s">
        <v>85</v>
      </c>
      <c r="L148" s="6" t="s">
        <v>86</v>
      </c>
      <c r="M148" s="6" t="s">
        <v>57</v>
      </c>
      <c r="N148" s="6" t="s">
        <v>58</v>
      </c>
      <c r="O148" s="6" t="s">
        <v>365</v>
      </c>
      <c r="P148" s="8" t="s">
        <v>368</v>
      </c>
      <c r="Q148" s="6" t="s">
        <v>359</v>
      </c>
      <c r="R148" s="6" t="s">
        <v>48</v>
      </c>
      <c r="S148" s="6" t="s">
        <v>48</v>
      </c>
      <c r="T148" s="6" t="s">
        <v>88</v>
      </c>
      <c r="U148" s="5">
        <f t="shared" si="1"/>
        <v>19.981</v>
      </c>
      <c r="V148" s="5"/>
      <c r="W148" s="5"/>
      <c r="X148" s="5"/>
      <c r="Y148" s="5"/>
      <c r="Z148" s="5"/>
      <c r="AA148" s="5"/>
    </row>
    <row r="149" ht="15.75" customHeight="1">
      <c r="A149" s="6" t="s">
        <v>347</v>
      </c>
      <c r="B149" s="6" t="s">
        <v>369</v>
      </c>
      <c r="C149" s="6" t="s">
        <v>26</v>
      </c>
      <c r="D149" s="6" t="s">
        <v>63</v>
      </c>
      <c r="E149" s="6" t="s">
        <v>370</v>
      </c>
      <c r="F149" s="6" t="s">
        <v>371</v>
      </c>
      <c r="G149" s="7">
        <v>348.0</v>
      </c>
      <c r="H149" s="6" t="s">
        <v>83</v>
      </c>
      <c r="I149" s="6" t="s">
        <v>37</v>
      </c>
      <c r="J149" s="8">
        <v>15777.0</v>
      </c>
      <c r="K149" s="6" t="s">
        <v>40</v>
      </c>
      <c r="L149" s="6" t="s">
        <v>42</v>
      </c>
      <c r="M149" s="6" t="s">
        <v>44</v>
      </c>
      <c r="N149" s="6" t="s">
        <v>41</v>
      </c>
      <c r="O149" s="6" t="s">
        <v>173</v>
      </c>
      <c r="P149" s="8" t="s">
        <v>372</v>
      </c>
      <c r="Q149" s="6" t="s">
        <v>46</v>
      </c>
      <c r="R149" s="6" t="s">
        <v>48</v>
      </c>
      <c r="S149" s="6" t="s">
        <v>48</v>
      </c>
      <c r="T149" s="6" t="s">
        <v>52</v>
      </c>
      <c r="U149" s="5">
        <f t="shared" si="1"/>
        <v>19.981</v>
      </c>
      <c r="V149" s="5"/>
      <c r="W149" s="5"/>
      <c r="X149" s="5"/>
      <c r="Y149" s="5"/>
      <c r="Z149" s="5"/>
      <c r="AA149" s="5"/>
    </row>
    <row r="150" ht="15.75" customHeight="1">
      <c r="A150" s="6" t="s">
        <v>347</v>
      </c>
      <c r="B150" s="6" t="s">
        <v>369</v>
      </c>
      <c r="C150" s="6" t="s">
        <v>62</v>
      </c>
      <c r="D150" s="6" t="s">
        <v>63</v>
      </c>
      <c r="E150" s="6" t="s">
        <v>370</v>
      </c>
      <c r="F150" s="6" t="s">
        <v>371</v>
      </c>
      <c r="G150" s="7">
        <v>126.44</v>
      </c>
      <c r="H150" s="6" t="s">
        <v>83</v>
      </c>
      <c r="I150" s="6" t="s">
        <v>48</v>
      </c>
      <c r="J150" s="8">
        <v>1919.0</v>
      </c>
      <c r="K150" s="6" t="s">
        <v>62</v>
      </c>
      <c r="L150" s="6" t="s">
        <v>69</v>
      </c>
      <c r="M150" s="6" t="s">
        <v>70</v>
      </c>
      <c r="N150" s="6" t="s">
        <v>58</v>
      </c>
      <c r="O150" s="6" t="s">
        <v>173</v>
      </c>
      <c r="P150" s="8" t="s">
        <v>373</v>
      </c>
      <c r="Q150" s="6" t="s">
        <v>46</v>
      </c>
      <c r="R150" s="6" t="s">
        <v>48</v>
      </c>
      <c r="S150" s="6" t="s">
        <v>48</v>
      </c>
      <c r="T150" s="6" t="s">
        <v>52</v>
      </c>
      <c r="U150" s="5">
        <f t="shared" si="1"/>
        <v>19.26093</v>
      </c>
      <c r="V150" s="5"/>
      <c r="W150" s="5"/>
      <c r="X150" s="5"/>
      <c r="Y150" s="5"/>
      <c r="Z150" s="5"/>
      <c r="AA150" s="5"/>
    </row>
    <row r="151" ht="15.75" customHeight="1">
      <c r="A151" s="6" t="s">
        <v>347</v>
      </c>
      <c r="B151" s="6" t="s">
        <v>369</v>
      </c>
      <c r="C151" s="6" t="s">
        <v>374</v>
      </c>
      <c r="D151" s="6" t="s">
        <v>63</v>
      </c>
      <c r="E151" s="6" t="s">
        <v>370</v>
      </c>
      <c r="F151" s="6" t="s">
        <v>371</v>
      </c>
      <c r="G151" s="7">
        <v>126.44</v>
      </c>
      <c r="H151" s="6" t="s">
        <v>83</v>
      </c>
      <c r="I151" s="6" t="s">
        <v>48</v>
      </c>
      <c r="J151" s="8">
        <v>15596.0</v>
      </c>
      <c r="K151" s="6" t="s">
        <v>375</v>
      </c>
      <c r="L151" s="6" t="s">
        <v>376</v>
      </c>
      <c r="M151" s="6" t="s">
        <v>377</v>
      </c>
      <c r="N151" s="6" t="s">
        <v>58</v>
      </c>
      <c r="O151" s="6" t="s">
        <v>173</v>
      </c>
      <c r="P151" s="8" t="s">
        <v>373</v>
      </c>
      <c r="Q151" s="6" t="s">
        <v>46</v>
      </c>
      <c r="R151" s="6" t="s">
        <v>48</v>
      </c>
      <c r="S151" s="6" t="s">
        <v>48</v>
      </c>
      <c r="T151" s="6" t="s">
        <v>77</v>
      </c>
      <c r="U151" s="5">
        <f t="shared" si="1"/>
        <v>19.26093</v>
      </c>
      <c r="V151" s="5"/>
      <c r="W151" s="5"/>
      <c r="X151" s="5"/>
      <c r="Y151" s="5"/>
      <c r="Z151" s="5"/>
      <c r="AA151" s="5"/>
    </row>
    <row r="152" ht="15.75" customHeight="1">
      <c r="A152" s="6" t="s">
        <v>347</v>
      </c>
      <c r="B152" s="6" t="s">
        <v>378</v>
      </c>
      <c r="C152" s="6" t="s">
        <v>26</v>
      </c>
      <c r="D152" s="6" t="s">
        <v>63</v>
      </c>
      <c r="E152" s="6" t="s">
        <v>379</v>
      </c>
      <c r="F152" s="6" t="s">
        <v>380</v>
      </c>
      <c r="G152" s="7">
        <v>348.0</v>
      </c>
      <c r="H152" s="6" t="s">
        <v>83</v>
      </c>
      <c r="I152" s="6" t="s">
        <v>37</v>
      </c>
      <c r="J152" s="8">
        <v>15778.0</v>
      </c>
      <c r="K152" s="6" t="s">
        <v>40</v>
      </c>
      <c r="L152" s="6" t="s">
        <v>42</v>
      </c>
      <c r="M152" s="6" t="s">
        <v>44</v>
      </c>
      <c r="N152" s="6" t="s">
        <v>41</v>
      </c>
      <c r="O152" s="6" t="s">
        <v>381</v>
      </c>
      <c r="P152" s="8" t="s">
        <v>382</v>
      </c>
      <c r="Q152" s="6" t="s">
        <v>46</v>
      </c>
      <c r="R152" s="6" t="s">
        <v>48</v>
      </c>
      <c r="S152" s="6" t="s">
        <v>48</v>
      </c>
      <c r="T152" s="6" t="s">
        <v>52</v>
      </c>
      <c r="U152" s="5">
        <f t="shared" si="1"/>
        <v>19.981</v>
      </c>
      <c r="V152" s="5"/>
      <c r="W152" s="5"/>
      <c r="X152" s="5"/>
      <c r="Y152" s="5"/>
      <c r="Z152" s="5"/>
      <c r="AA152" s="5"/>
    </row>
    <row r="153" ht="15.75" customHeight="1">
      <c r="A153" s="6" t="s">
        <v>347</v>
      </c>
      <c r="B153" s="6" t="s">
        <v>378</v>
      </c>
      <c r="C153" s="6" t="s">
        <v>62</v>
      </c>
      <c r="D153" s="6" t="s">
        <v>63</v>
      </c>
      <c r="E153" s="6" t="s">
        <v>379</v>
      </c>
      <c r="F153" s="6" t="s">
        <v>380</v>
      </c>
      <c r="G153" s="7">
        <v>126.44</v>
      </c>
      <c r="H153" s="6" t="s">
        <v>83</v>
      </c>
      <c r="I153" s="6" t="s">
        <v>48</v>
      </c>
      <c r="J153" s="8">
        <v>7390.0</v>
      </c>
      <c r="K153" s="6" t="s">
        <v>62</v>
      </c>
      <c r="L153" s="6" t="s">
        <v>65</v>
      </c>
      <c r="M153" s="6" t="s">
        <v>66</v>
      </c>
      <c r="N153" s="6" t="s">
        <v>58</v>
      </c>
      <c r="O153" s="6" t="s">
        <v>381</v>
      </c>
      <c r="P153" s="8" t="s">
        <v>383</v>
      </c>
      <c r="Q153" s="6" t="s">
        <v>46</v>
      </c>
      <c r="R153" s="6" t="s">
        <v>48</v>
      </c>
      <c r="S153" s="6" t="s">
        <v>48</v>
      </c>
      <c r="T153" s="6" t="s">
        <v>52</v>
      </c>
      <c r="U153" s="5">
        <f t="shared" si="1"/>
        <v>19.26093</v>
      </c>
      <c r="V153" s="5"/>
      <c r="W153" s="5"/>
      <c r="X153" s="5"/>
      <c r="Y153" s="5"/>
      <c r="Z153" s="5"/>
      <c r="AA153" s="5"/>
    </row>
    <row r="154" ht="15.75" customHeight="1">
      <c r="A154" s="6" t="s">
        <v>347</v>
      </c>
      <c r="B154" s="6" t="s">
        <v>384</v>
      </c>
      <c r="C154" s="6" t="s">
        <v>26</v>
      </c>
      <c r="D154" s="6" t="s">
        <v>63</v>
      </c>
      <c r="E154" s="6" t="s">
        <v>385</v>
      </c>
      <c r="F154" s="6" t="s">
        <v>386</v>
      </c>
      <c r="G154" s="7">
        <v>348.0</v>
      </c>
      <c r="H154" s="6" t="s">
        <v>83</v>
      </c>
      <c r="I154" s="6" t="s">
        <v>37</v>
      </c>
      <c r="J154" s="8">
        <v>15756.0</v>
      </c>
      <c r="K154" s="6" t="s">
        <v>40</v>
      </c>
      <c r="L154" s="6" t="s">
        <v>42</v>
      </c>
      <c r="M154" s="6" t="s">
        <v>44</v>
      </c>
      <c r="N154" s="6" t="s">
        <v>41</v>
      </c>
      <c r="O154" s="6" t="s">
        <v>387</v>
      </c>
      <c r="P154" s="8" t="s">
        <v>388</v>
      </c>
      <c r="Q154" s="6" t="s">
        <v>46</v>
      </c>
      <c r="R154" s="6" t="s">
        <v>48</v>
      </c>
      <c r="S154" s="6" t="s">
        <v>48</v>
      </c>
      <c r="T154" s="6" t="s">
        <v>52</v>
      </c>
      <c r="U154" s="5">
        <f t="shared" si="1"/>
        <v>19.981</v>
      </c>
      <c r="V154" s="5"/>
      <c r="W154" s="5"/>
      <c r="X154" s="5"/>
      <c r="Y154" s="5"/>
      <c r="Z154" s="5"/>
      <c r="AA154" s="5"/>
    </row>
    <row r="155" ht="15.75" customHeight="1">
      <c r="A155" s="6" t="s">
        <v>347</v>
      </c>
      <c r="B155" s="6" t="s">
        <v>384</v>
      </c>
      <c r="C155" s="6" t="s">
        <v>62</v>
      </c>
      <c r="D155" s="6" t="s">
        <v>63</v>
      </c>
      <c r="E155" s="6" t="s">
        <v>385</v>
      </c>
      <c r="F155" s="6" t="s">
        <v>386</v>
      </c>
      <c r="G155" s="7">
        <v>126.44</v>
      </c>
      <c r="H155" s="6" t="s">
        <v>219</v>
      </c>
      <c r="I155" s="6" t="s">
        <v>48</v>
      </c>
      <c r="J155" s="8">
        <v>7386.0</v>
      </c>
      <c r="K155" s="6" t="s">
        <v>62</v>
      </c>
      <c r="L155" s="6" t="s">
        <v>65</v>
      </c>
      <c r="M155" s="6" t="s">
        <v>66</v>
      </c>
      <c r="N155" s="6" t="s">
        <v>58</v>
      </c>
      <c r="O155" s="6" t="s">
        <v>387</v>
      </c>
      <c r="P155" s="8" t="s">
        <v>389</v>
      </c>
      <c r="Q155" s="6" t="s">
        <v>46</v>
      </c>
      <c r="R155" s="6" t="s">
        <v>48</v>
      </c>
      <c r="S155" s="6" t="s">
        <v>48</v>
      </c>
      <c r="T155" s="6" t="s">
        <v>52</v>
      </c>
      <c r="U155" s="5">
        <f t="shared" si="1"/>
        <v>19.26093</v>
      </c>
      <c r="V155" s="5"/>
      <c r="W155" s="5"/>
      <c r="X155" s="5"/>
      <c r="Y155" s="5"/>
      <c r="Z155" s="5"/>
      <c r="AA155" s="5"/>
    </row>
    <row r="156" ht="15.75" customHeight="1">
      <c r="A156" s="6" t="s">
        <v>347</v>
      </c>
      <c r="B156" s="6" t="s">
        <v>384</v>
      </c>
      <c r="C156" s="6" t="s">
        <v>62</v>
      </c>
      <c r="D156" s="6" t="s">
        <v>54</v>
      </c>
      <c r="E156" s="6" t="s">
        <v>385</v>
      </c>
      <c r="F156" s="6" t="s">
        <v>386</v>
      </c>
      <c r="G156" s="7">
        <v>168.2</v>
      </c>
      <c r="H156" s="6" t="s">
        <v>219</v>
      </c>
      <c r="I156" s="6" t="s">
        <v>48</v>
      </c>
      <c r="J156" s="8">
        <v>15720.0</v>
      </c>
      <c r="K156" s="6" t="s">
        <v>62</v>
      </c>
      <c r="L156" s="6" t="s">
        <v>69</v>
      </c>
      <c r="M156" s="6" t="s">
        <v>70</v>
      </c>
      <c r="N156" s="6" t="s">
        <v>58</v>
      </c>
      <c r="O156" s="6" t="s">
        <v>387</v>
      </c>
      <c r="P156" s="8" t="s">
        <v>390</v>
      </c>
      <c r="Q156" s="6" t="s">
        <v>46</v>
      </c>
      <c r="R156" s="6" t="s">
        <v>48</v>
      </c>
      <c r="S156" s="6" t="s">
        <v>48</v>
      </c>
      <c r="T156" s="6" t="s">
        <v>52</v>
      </c>
      <c r="U156" s="5">
        <f t="shared" si="1"/>
        <v>19.39665</v>
      </c>
      <c r="V156" s="5"/>
      <c r="W156" s="5"/>
      <c r="X156" s="5"/>
      <c r="Y156" s="5"/>
      <c r="Z156" s="5"/>
      <c r="AA156" s="5"/>
    </row>
    <row r="157" ht="15.75" customHeight="1">
      <c r="A157" s="6" t="s">
        <v>347</v>
      </c>
      <c r="B157" s="6" t="s">
        <v>384</v>
      </c>
      <c r="C157" s="6" t="s">
        <v>374</v>
      </c>
      <c r="D157" s="6" t="s">
        <v>63</v>
      </c>
      <c r="E157" s="6" t="s">
        <v>385</v>
      </c>
      <c r="F157" s="6" t="s">
        <v>386</v>
      </c>
      <c r="G157" s="7">
        <v>126.44</v>
      </c>
      <c r="H157" s="6" t="s">
        <v>219</v>
      </c>
      <c r="I157" s="6" t="s">
        <v>48</v>
      </c>
      <c r="J157" s="8">
        <v>15597.0</v>
      </c>
      <c r="K157" s="6" t="s">
        <v>375</v>
      </c>
      <c r="L157" s="6" t="s">
        <v>376</v>
      </c>
      <c r="M157" s="6" t="s">
        <v>377</v>
      </c>
      <c r="N157" s="6" t="s">
        <v>58</v>
      </c>
      <c r="O157" s="6" t="s">
        <v>387</v>
      </c>
      <c r="P157" s="8" t="s">
        <v>389</v>
      </c>
      <c r="Q157" s="6" t="s">
        <v>46</v>
      </c>
      <c r="R157" s="6" t="s">
        <v>48</v>
      </c>
      <c r="S157" s="6" t="s">
        <v>48</v>
      </c>
      <c r="T157" s="6" t="s">
        <v>77</v>
      </c>
      <c r="U157" s="5">
        <f t="shared" si="1"/>
        <v>19.26093</v>
      </c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10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10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10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10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10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10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10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10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10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10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10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10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10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10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10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10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10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10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10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1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10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10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10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10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10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10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10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10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10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10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10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10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10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10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10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10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10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10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10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10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10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10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10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10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10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10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10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10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10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10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1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10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10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10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10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10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10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10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10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10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10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10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10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10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10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10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10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10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10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10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10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10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10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10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10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10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10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10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10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10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10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10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10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10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10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10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10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10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10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10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10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10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10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10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10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10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10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10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10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10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1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10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10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10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10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10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10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10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10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10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10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10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10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10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10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10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10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10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10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10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1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10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10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10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10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10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10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10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10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10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10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10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10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10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10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10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10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10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10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10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10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10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10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10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10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10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10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10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10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10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10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10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10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10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10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10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10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10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10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10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10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10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10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10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10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10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10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10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10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10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10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10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10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10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10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10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10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10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10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10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10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10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10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10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10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10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10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10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10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10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10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10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10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10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10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10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10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10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10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10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10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10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10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10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10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10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10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10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10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10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10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10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10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10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10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10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10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10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10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10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10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10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10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10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10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10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10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10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10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10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10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10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10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10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10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10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10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10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10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10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10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10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1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10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10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10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10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10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10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10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10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10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10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10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10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10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10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10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10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10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10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10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10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10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10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10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10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10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10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10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10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10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10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10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10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10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10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10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10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10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10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10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10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10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10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10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10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10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10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10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10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10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10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10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10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10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10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10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10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10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10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10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10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10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10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10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10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10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10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10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10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10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10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10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10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10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10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10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10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10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10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10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10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10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10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10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10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10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10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10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10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10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10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10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10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10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10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10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10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10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10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10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10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10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10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10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10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10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10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10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10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10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10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10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10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10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10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10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10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10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10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10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10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10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10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10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10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10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10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10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10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10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10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10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10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10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10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10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10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10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10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10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10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10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10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10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10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10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10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10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10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10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10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10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10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10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10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10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10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10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10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10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10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10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10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10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10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10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10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10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10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10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10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10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10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10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10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10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10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10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10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10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10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10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10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10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10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10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10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10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10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10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10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10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10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10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10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10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10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10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10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10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10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10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10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10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10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10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10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10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10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10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10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10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10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10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10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10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10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10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10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10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10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10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10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10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10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10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10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10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10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10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10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10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10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10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10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10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10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10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10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10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10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10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10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10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10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10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10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10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10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10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10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10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10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10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10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10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10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10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10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10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10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10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10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10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10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10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10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10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10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10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10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10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10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10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10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10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10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10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10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10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10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10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10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10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10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10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10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10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10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10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10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10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10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10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10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10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10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10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10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10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10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10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10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10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10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10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10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10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10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10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10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10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10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10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10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10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10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10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10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10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10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10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10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10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10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10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10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10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10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10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10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10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10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10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10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10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10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10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10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10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10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10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10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10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10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10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10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10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10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10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10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10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10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10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10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10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10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10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10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10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10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10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10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10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10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10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10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10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10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10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10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10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10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10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10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10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10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10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10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10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10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10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10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10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10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10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10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10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10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10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10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10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10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10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10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10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10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10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10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10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10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10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10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10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10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10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10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10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10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10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10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10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10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10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10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10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10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10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10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10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10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10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10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10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10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10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10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10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10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10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10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10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10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10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10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10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10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10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10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10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10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10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10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10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10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10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10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10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10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10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10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10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10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10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10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10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10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10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10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10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10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10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10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10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10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10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10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10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10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10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10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10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10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10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10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10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10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10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10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10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10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10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10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10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10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10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10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10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10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10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10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10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10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10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10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10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10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10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10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10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10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10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10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10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10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10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10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10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10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10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10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10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10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10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10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10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10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10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10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10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10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10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10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10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10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10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10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10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10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10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10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10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10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10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10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10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10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10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10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10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10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10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10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10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10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10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10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10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10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10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10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10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10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10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10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10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10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10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10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10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10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10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10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10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10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10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10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10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10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10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10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10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10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10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10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10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10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10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10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10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10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10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10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10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10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10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10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10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10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10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10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10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10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10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10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10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10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10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10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10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ht="15.75" customHeight="1">
      <c r="A1000" s="5"/>
      <c r="B1000" s="5"/>
      <c r="C1000" s="5"/>
      <c r="D1000" s="5"/>
      <c r="E1000" s="5"/>
      <c r="F1000" s="5"/>
      <c r="G1000" s="10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autoFilter ref="$A$1:$AA$157"/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2024-08-12T16:36:50Z</dcterms:created>
  <dc:creator>Marc Wesenberg</dc:creator>
</cp:coreProperties>
</file>