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neue preise" sheetId="2" r:id="rId5"/>
  </sheets>
  <definedNames/>
  <calcPr/>
  <extLst>
    <ext uri="GoogleSheetsCustomDataVersion2">
      <go:sheetsCustomData xmlns:go="http://customooxmlschemas.google.com/" r:id="rId6" roundtripDataChecksum="ChvnwQWdnnLAznqxYu6Z2UOxl6ukCoFPn6PAgVXvKts="/>
    </ext>
  </extLst>
</workbook>
</file>

<file path=xl/sharedStrings.xml><?xml version="1.0" encoding="utf-8"?>
<sst xmlns="http://schemas.openxmlformats.org/spreadsheetml/2006/main" count="260" uniqueCount="62">
  <si>
    <t>Def-Lochung</t>
  </si>
  <si>
    <t>Prägungsgröße und -abstand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</si>
  <si>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</si>
  <si>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</si>
  <si>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</si>
  <si>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</si>
  <si>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</si>
  <si>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</si>
  <si>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</si>
  <si>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</si>
  <si>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</si>
  <si>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neuer EK</t>
  </si>
  <si>
    <t>DIN-Bezeichnung (alt)</t>
  </si>
  <si>
    <t>DIN-Bezeichnung (neu)</t>
  </si>
  <si>
    <t>SpezifischesGewicht</t>
  </si>
  <si>
    <t>Geprägte Fläche</t>
  </si>
  <si>
    <t>Gewicht pro m²</t>
  </si>
  <si>
    <t>1000x2000</t>
  </si>
  <si>
    <t>DIN</t>
  </si>
  <si>
    <t>Daten 9</t>
  </si>
  <si>
    <t>neue Netto</t>
  </si>
  <si>
    <t>Daten 10</t>
  </si>
  <si>
    <t>neue Brutto</t>
  </si>
  <si>
    <t>Hinweis</t>
  </si>
  <si>
    <t>Quadratprägung (gerade)</t>
  </si>
  <si>
    <t>Qpg 15-40</t>
  </si>
  <si>
    <t>Aluminium</t>
  </si>
  <si>
    <t>2,00 mm</t>
  </si>
  <si>
    <t>https://cdn.shopify.com/s/files/1/0575/0797/1253/files/Praegeblech_Qpg_15-40.jpg?v=1723476068</t>
  </si>
  <si>
    <t>https://cdn.shopify.com/s/files/1/0575/0797/1253/files/Qpg15-40_65192f36-6fd8-4d2e-8282-08770da271e3.pdf?v=1723476894</t>
  </si>
  <si>
    <t>//</t>
  </si>
  <si>
    <t>(einseitig Folie)</t>
  </si>
  <si>
    <t>Aluminium einseitig Folie</t>
  </si>
  <si>
    <t>Al 99,5 % hh, eins. Folie</t>
  </si>
  <si>
    <t>EN AW-1050-A</t>
  </si>
  <si>
    <t>2,7 g/cm³</t>
  </si>
  <si>
    <t>14,06 %</t>
  </si>
  <si>
    <t>5,4 Kg</t>
  </si>
  <si>
    <t>51130 (keine Rutschhemmung)</t>
  </si>
  <si>
    <t/>
  </si>
  <si>
    <t>Rückseitig Bearbeitungsspuren möglich.</t>
  </si>
  <si>
    <t>Edelstahl</t>
  </si>
  <si>
    <t>1,50 mm</t>
  </si>
  <si>
    <t>(beids. geschl. Korn 240)</t>
  </si>
  <si>
    <t>Edelstahl beids. geschl. Korn 240</t>
  </si>
  <si>
    <t>1.4301 beids. geschl. Korn 240</t>
  </si>
  <si>
    <t>X5CrNi18-10</t>
  </si>
  <si>
    <t>8 g/cm³</t>
  </si>
  <si>
    <t>12 Kg</t>
  </si>
  <si>
    <t>Beidseitig mit Schutzfolie.</t>
  </si>
  <si>
    <t>Qpg 20-50</t>
  </si>
  <si>
    <t>https://cdn.shopify.com/s/files/1/0575/0797/1253/files/Praegeblech_Qpg_20-50.jpg?v=1695296429</t>
  </si>
  <si>
    <t>https://cdn.shopify.com/s/files/1/0575/0797/1253/files/Qpg20-50.pdf?v=1723476895</t>
  </si>
  <si>
    <t>C/2/3</t>
  </si>
  <si>
    <t>16,00 %</t>
  </si>
  <si>
    <t>C/2/6</t>
  </si>
  <si>
    <t>Rundprägung (gerade)</t>
  </si>
  <si>
    <t>Rpg 10-30</t>
  </si>
  <si>
    <t>https://cdn.shopify.com/s/files/1/0575/0797/1253/files/Praegeblech_Rpg_10-30_a14ff9ba-623e-491f-8336-0481bf012168.jpg?v=1723476069</t>
  </si>
  <si>
    <t>https://cdn.shopify.com/s/files/1/0575/0797/1253/files/Rpg10-30_c8d1d581-c8c5-4be0-af97-5f3fa5589ca3.pdf?v=1723476895</t>
  </si>
  <si>
    <t>//, D2/6</t>
  </si>
  <si>
    <t>8,72 %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</si>
</sst>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3" fontId="2" numFmtId="2" xfId="0" applyAlignment="1" applyBorder="1" applyFill="1" applyFont="1" applyNumberFormat="1">
      <alignment horizontal="center" vertical="bottom"/>
    </xf>
    <xf borderId="1" fillId="4" fontId="2" numFmtId="2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2" fillId="0" fontId="4" numFmtId="2" xfId="0" applyAlignment="1" applyBorder="1" applyFont="1" applyNumberFormat="1">
      <alignment horizontal="right" shrinkToFit="0" vertical="bottom" wrapText="1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0.71"/>
    <col customWidth="1" min="3" max="3" width="15.14"/>
    <col customWidth="1" min="4" max="4" width="10.71"/>
    <col customWidth="1" min="5" max="5" width="71.0"/>
    <col customWidth="1" min="6" max="6" width="58.71"/>
    <col customWidth="1" min="7" max="8" width="10.71"/>
    <col customWidth="1" min="9" max="9" width="30.14"/>
    <col customWidth="1" min="10" max="10" width="10.71"/>
    <col customWidth="1" min="11" max="11" width="49.14"/>
    <col customWidth="1" min="12" max="12" width="31.86"/>
    <col customWidth="1" min="13" max="13" width="40.71"/>
    <col customWidth="1" min="14" max="16" width="10.71"/>
    <col customWidth="1" min="17" max="17" width="52.43"/>
    <col customWidth="1" min="18" max="19" width="10.71"/>
    <col customWidth="1" min="20" max="20" width="37.0"/>
    <col customWidth="1" min="2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1" t="s">
        <v>19</v>
      </c>
      <c r="S1" s="1" t="s">
        <v>21</v>
      </c>
      <c r="T1" s="1" t="s">
        <v>23</v>
      </c>
      <c r="U1" s="4"/>
      <c r="V1" s="4"/>
      <c r="W1" s="4"/>
      <c r="X1" s="4"/>
      <c r="Y1" s="4"/>
      <c r="Z1" s="4"/>
    </row>
    <row r="2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6">
        <v>176.0</v>
      </c>
      <c r="H2" s="5" t="s">
        <v>30</v>
      </c>
      <c r="I2" s="5" t="s">
        <v>31</v>
      </c>
      <c r="J2" s="7">
        <v>792.0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7" t="s">
        <v>37</v>
      </c>
      <c r="Q2" s="5" t="s">
        <v>38</v>
      </c>
      <c r="R2" s="5" t="s">
        <v>39</v>
      </c>
      <c r="S2" s="5" t="s">
        <v>39</v>
      </c>
      <c r="T2" s="5" t="s">
        <v>40</v>
      </c>
      <c r="U2" s="4"/>
      <c r="V2" s="4"/>
      <c r="W2" s="4"/>
      <c r="X2" s="4"/>
      <c r="Y2" s="4"/>
      <c r="Z2" s="4"/>
    </row>
    <row r="3">
      <c r="A3" s="5" t="s">
        <v>24</v>
      </c>
      <c r="B3" s="5" t="s">
        <v>25</v>
      </c>
      <c r="C3" s="5" t="s">
        <v>41</v>
      </c>
      <c r="D3" s="5" t="s">
        <v>42</v>
      </c>
      <c r="E3" s="5" t="s">
        <v>28</v>
      </c>
      <c r="F3" s="5" t="s">
        <v>29</v>
      </c>
      <c r="G3" s="6">
        <v>229.9</v>
      </c>
      <c r="H3" s="5" t="s">
        <v>30</v>
      </c>
      <c r="I3" s="5" t="s">
        <v>43</v>
      </c>
      <c r="J3" s="7">
        <v>1018.0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36</v>
      </c>
      <c r="P3" s="7" t="s">
        <v>48</v>
      </c>
      <c r="Q3" s="5" t="s">
        <v>38</v>
      </c>
      <c r="R3" s="5" t="s">
        <v>39</v>
      </c>
      <c r="S3" s="5" t="s">
        <v>39</v>
      </c>
      <c r="T3" s="5" t="s">
        <v>49</v>
      </c>
      <c r="U3" s="4"/>
      <c r="V3" s="4"/>
      <c r="W3" s="4"/>
      <c r="X3" s="4"/>
      <c r="Y3" s="4"/>
      <c r="Z3" s="4"/>
    </row>
    <row r="4">
      <c r="A4" s="5" t="s">
        <v>24</v>
      </c>
      <c r="B4" s="5" t="s">
        <v>50</v>
      </c>
      <c r="C4" s="5" t="s">
        <v>26</v>
      </c>
      <c r="D4" s="5" t="s">
        <v>27</v>
      </c>
      <c r="E4" s="5" t="s">
        <v>51</v>
      </c>
      <c r="F4" s="5" t="s">
        <v>52</v>
      </c>
      <c r="G4" s="6">
        <v>176.0</v>
      </c>
      <c r="H4" s="5" t="s">
        <v>53</v>
      </c>
      <c r="I4" s="5" t="s">
        <v>31</v>
      </c>
      <c r="J4" s="7">
        <v>793.0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54</v>
      </c>
      <c r="P4" s="7" t="s">
        <v>37</v>
      </c>
      <c r="Q4" s="5" t="s">
        <v>38</v>
      </c>
      <c r="R4" s="5" t="s">
        <v>39</v>
      </c>
      <c r="S4" s="5" t="s">
        <v>39</v>
      </c>
      <c r="T4" s="5" t="s">
        <v>40</v>
      </c>
      <c r="U4" s="4"/>
      <c r="V4" s="4"/>
      <c r="W4" s="4"/>
      <c r="X4" s="4"/>
      <c r="Y4" s="4"/>
      <c r="Z4" s="4"/>
    </row>
    <row r="5">
      <c r="A5" s="5" t="s">
        <v>24</v>
      </c>
      <c r="B5" s="5" t="s">
        <v>50</v>
      </c>
      <c r="C5" s="5" t="s">
        <v>41</v>
      </c>
      <c r="D5" s="5" t="s">
        <v>42</v>
      </c>
      <c r="E5" s="5" t="s">
        <v>51</v>
      </c>
      <c r="F5" s="5" t="s">
        <v>52</v>
      </c>
      <c r="G5" s="6">
        <v>229.9</v>
      </c>
      <c r="H5" s="5" t="s">
        <v>55</v>
      </c>
      <c r="I5" s="5" t="s">
        <v>43</v>
      </c>
      <c r="J5" s="7">
        <v>1180.0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54</v>
      </c>
      <c r="P5" s="7" t="s">
        <v>48</v>
      </c>
      <c r="Q5" s="5" t="s">
        <v>38</v>
      </c>
      <c r="R5" s="5" t="s">
        <v>39</v>
      </c>
      <c r="S5" s="5" t="s">
        <v>39</v>
      </c>
      <c r="T5" s="5" t="s">
        <v>49</v>
      </c>
      <c r="U5" s="4"/>
      <c r="V5" s="4"/>
      <c r="W5" s="4"/>
      <c r="X5" s="4"/>
      <c r="Y5" s="4"/>
      <c r="Z5" s="4"/>
    </row>
    <row r="6">
      <c r="A6" s="9" t="s">
        <v>56</v>
      </c>
      <c r="B6" s="5" t="s">
        <v>57</v>
      </c>
      <c r="C6" s="5" t="s">
        <v>26</v>
      </c>
      <c r="D6" s="5" t="s">
        <v>27</v>
      </c>
      <c r="E6" s="5" t="s">
        <v>58</v>
      </c>
      <c r="F6" s="5" t="s">
        <v>59</v>
      </c>
      <c r="G6" s="6">
        <v>176.0</v>
      </c>
      <c r="H6" s="5" t="s">
        <v>60</v>
      </c>
      <c r="I6" s="5" t="s">
        <v>31</v>
      </c>
      <c r="J6" s="7">
        <v>5996.0</v>
      </c>
      <c r="K6" s="5" t="s">
        <v>32</v>
      </c>
      <c r="L6" s="5" t="s">
        <v>33</v>
      </c>
      <c r="M6" s="5" t="s">
        <v>34</v>
      </c>
      <c r="N6" s="5" t="s">
        <v>35</v>
      </c>
      <c r="O6" s="5" t="s">
        <v>61</v>
      </c>
      <c r="P6" s="7" t="s">
        <v>37</v>
      </c>
      <c r="Q6" s="5" t="s">
        <v>38</v>
      </c>
      <c r="R6" s="5" t="s">
        <v>39</v>
      </c>
      <c r="S6" s="5" t="s">
        <v>39</v>
      </c>
      <c r="T6" s="5" t="s">
        <v>40</v>
      </c>
      <c r="U6" s="4"/>
      <c r="V6" s="4"/>
      <c r="W6" s="4"/>
      <c r="X6" s="4"/>
      <c r="Y6" s="4"/>
      <c r="Z6" s="4"/>
    </row>
    <row r="7">
      <c r="A7" s="9" t="s">
        <v>56</v>
      </c>
      <c r="B7" s="5" t="s">
        <v>57</v>
      </c>
      <c r="C7" s="5" t="s">
        <v>41</v>
      </c>
      <c r="D7" s="5" t="s">
        <v>42</v>
      </c>
      <c r="E7" s="5" t="s">
        <v>58</v>
      </c>
      <c r="F7" s="5" t="s">
        <v>59</v>
      </c>
      <c r="G7" s="6">
        <v>229.9</v>
      </c>
      <c r="H7" s="5" t="s">
        <v>30</v>
      </c>
      <c r="I7" s="5" t="s">
        <v>43</v>
      </c>
      <c r="J7" s="7">
        <v>883.0</v>
      </c>
      <c r="K7" s="5" t="s">
        <v>44</v>
      </c>
      <c r="L7" s="5" t="s">
        <v>45</v>
      </c>
      <c r="M7" s="5" t="s">
        <v>46</v>
      </c>
      <c r="N7" s="5" t="s">
        <v>47</v>
      </c>
      <c r="O7" s="5" t="s">
        <v>61</v>
      </c>
      <c r="P7" s="7" t="s">
        <v>48</v>
      </c>
      <c r="Q7" s="5" t="s">
        <v>38</v>
      </c>
      <c r="R7" s="5" t="s">
        <v>39</v>
      </c>
      <c r="S7" s="5" t="s">
        <v>39</v>
      </c>
      <c r="T7" s="5" t="s">
        <v>49</v>
      </c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0.71"/>
    <col customWidth="1" min="3" max="3" width="15.14"/>
    <col customWidth="1" min="4" max="4" width="10.71"/>
    <col customWidth="1" min="5" max="5" width="71.0"/>
    <col customWidth="1" min="6" max="6" width="58.71"/>
    <col customWidth="1" min="7" max="7" width="10.71"/>
    <col customWidth="1" min="8" max="8" width="8.86"/>
    <col customWidth="1" min="9" max="9" width="10.57"/>
    <col customWidth="1" min="10" max="10" width="10.86"/>
    <col customWidth="1" min="11" max="11" width="11.57"/>
    <col customWidth="1" min="12" max="12" width="10.71"/>
    <col customWidth="1" min="13" max="13" width="30.14"/>
    <col customWidth="1" min="14" max="14" width="10.71"/>
    <col customWidth="1" min="15" max="15" width="49.14"/>
    <col customWidth="1" min="16" max="16" width="31.86"/>
    <col customWidth="1" min="17" max="17" width="40.71"/>
    <col customWidth="1" min="18" max="20" width="10.71"/>
    <col customWidth="1" min="21" max="21" width="52.43"/>
    <col customWidth="1" min="22" max="23" width="10.71"/>
    <col customWidth="1" min="24" max="24" width="37.0"/>
    <col customWidth="1" min="25" max="3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</v>
      </c>
      <c r="I1" s="3" t="s">
        <v>17</v>
      </c>
      <c r="J1" s="3" t="s">
        <v>20</v>
      </c>
      <c r="K1" s="3" t="s">
        <v>22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18</v>
      </c>
      <c r="V1" s="1" t="s">
        <v>19</v>
      </c>
      <c r="W1" s="1" t="s">
        <v>21</v>
      </c>
      <c r="X1" s="1" t="s">
        <v>23</v>
      </c>
      <c r="Y1" s="4"/>
      <c r="Z1" s="4"/>
      <c r="AA1" s="4"/>
      <c r="AB1" s="4"/>
      <c r="AC1" s="4"/>
      <c r="AD1" s="4"/>
    </row>
    <row r="2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6">
        <v>176.0</v>
      </c>
      <c r="H2" s="8">
        <f t="shared" ref="H2:H7" si="1">(I2-54.5)/2</f>
        <v>143.5483193</v>
      </c>
      <c r="I2" s="8">
        <f t="shared" ref="I2:I7" si="2">((14.5+40+(G2*2))/1.19)</f>
        <v>341.5966387</v>
      </c>
      <c r="J2" s="8">
        <f t="shared" ref="J2:J7" si="3">((14.5+40+(H2*2)))</f>
        <v>341.5966387</v>
      </c>
      <c r="K2" s="8">
        <f t="shared" ref="K2:K7" si="4">J2*1.19</f>
        <v>406.5</v>
      </c>
      <c r="L2" s="5" t="s">
        <v>30</v>
      </c>
      <c r="M2" s="5" t="s">
        <v>31</v>
      </c>
      <c r="N2" s="7">
        <v>792.0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7" t="s">
        <v>37</v>
      </c>
      <c r="U2" s="5" t="s">
        <v>38</v>
      </c>
      <c r="V2" s="5" t="s">
        <v>39</v>
      </c>
      <c r="W2" s="5" t="s">
        <v>39</v>
      </c>
      <c r="X2" s="5" t="s">
        <v>40</v>
      </c>
      <c r="Y2" s="4"/>
      <c r="Z2" s="4"/>
      <c r="AA2" s="4"/>
      <c r="AB2" s="4"/>
      <c r="AC2" s="4"/>
      <c r="AD2" s="4"/>
    </row>
    <row r="3">
      <c r="A3" s="5" t="s">
        <v>24</v>
      </c>
      <c r="B3" s="5" t="s">
        <v>25</v>
      </c>
      <c r="C3" s="5" t="s">
        <v>41</v>
      </c>
      <c r="D3" s="5" t="s">
        <v>42</v>
      </c>
      <c r="E3" s="5" t="s">
        <v>28</v>
      </c>
      <c r="F3" s="5" t="s">
        <v>29</v>
      </c>
      <c r="G3" s="6">
        <v>229.9</v>
      </c>
      <c r="H3" s="8">
        <f t="shared" si="1"/>
        <v>188.842437</v>
      </c>
      <c r="I3" s="8">
        <f t="shared" si="2"/>
        <v>432.1848739</v>
      </c>
      <c r="J3" s="8">
        <f t="shared" si="3"/>
        <v>432.1848739</v>
      </c>
      <c r="K3" s="8">
        <f t="shared" si="4"/>
        <v>514.3</v>
      </c>
      <c r="L3" s="5" t="s">
        <v>30</v>
      </c>
      <c r="M3" s="5" t="s">
        <v>43</v>
      </c>
      <c r="N3" s="7">
        <v>1018.0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36</v>
      </c>
      <c r="T3" s="7" t="s">
        <v>48</v>
      </c>
      <c r="U3" s="5" t="s">
        <v>38</v>
      </c>
      <c r="V3" s="5" t="s">
        <v>39</v>
      </c>
      <c r="W3" s="5" t="s">
        <v>39</v>
      </c>
      <c r="X3" s="5" t="s">
        <v>49</v>
      </c>
      <c r="Y3" s="4"/>
      <c r="Z3" s="4"/>
      <c r="AA3" s="4"/>
      <c r="AB3" s="4"/>
      <c r="AC3" s="4"/>
      <c r="AD3" s="4"/>
    </row>
    <row r="4">
      <c r="A4" s="5" t="s">
        <v>24</v>
      </c>
      <c r="B4" s="5" t="s">
        <v>50</v>
      </c>
      <c r="C4" s="5" t="s">
        <v>26</v>
      </c>
      <c r="D4" s="5" t="s">
        <v>27</v>
      </c>
      <c r="E4" s="5" t="s">
        <v>51</v>
      </c>
      <c r="F4" s="5" t="s">
        <v>52</v>
      </c>
      <c r="G4" s="6">
        <v>176.0</v>
      </c>
      <c r="H4" s="8">
        <f t="shared" si="1"/>
        <v>143.5483193</v>
      </c>
      <c r="I4" s="8">
        <f t="shared" si="2"/>
        <v>341.5966387</v>
      </c>
      <c r="J4" s="8">
        <f t="shared" si="3"/>
        <v>341.5966387</v>
      </c>
      <c r="K4" s="8">
        <f t="shared" si="4"/>
        <v>406.5</v>
      </c>
      <c r="L4" s="5" t="s">
        <v>53</v>
      </c>
      <c r="M4" s="5" t="s">
        <v>31</v>
      </c>
      <c r="N4" s="7">
        <v>793.0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54</v>
      </c>
      <c r="T4" s="7" t="s">
        <v>37</v>
      </c>
      <c r="U4" s="5" t="s">
        <v>38</v>
      </c>
      <c r="V4" s="5" t="s">
        <v>39</v>
      </c>
      <c r="W4" s="5" t="s">
        <v>39</v>
      </c>
      <c r="X4" s="5" t="s">
        <v>40</v>
      </c>
      <c r="Y4" s="4"/>
      <c r="Z4" s="4"/>
      <c r="AA4" s="4"/>
      <c r="AB4" s="4"/>
      <c r="AC4" s="4"/>
      <c r="AD4" s="4"/>
    </row>
    <row r="5">
      <c r="A5" s="5" t="s">
        <v>24</v>
      </c>
      <c r="B5" s="5" t="s">
        <v>50</v>
      </c>
      <c r="C5" s="5" t="s">
        <v>41</v>
      </c>
      <c r="D5" s="5" t="s">
        <v>42</v>
      </c>
      <c r="E5" s="5" t="s">
        <v>51</v>
      </c>
      <c r="F5" s="5" t="s">
        <v>52</v>
      </c>
      <c r="G5" s="6">
        <v>229.9</v>
      </c>
      <c r="H5" s="8">
        <f t="shared" si="1"/>
        <v>188.842437</v>
      </c>
      <c r="I5" s="8">
        <f t="shared" si="2"/>
        <v>432.1848739</v>
      </c>
      <c r="J5" s="8">
        <f t="shared" si="3"/>
        <v>432.1848739</v>
      </c>
      <c r="K5" s="8">
        <f t="shared" si="4"/>
        <v>514.3</v>
      </c>
      <c r="L5" s="5" t="s">
        <v>55</v>
      </c>
      <c r="M5" s="5" t="s">
        <v>43</v>
      </c>
      <c r="N5" s="7">
        <v>1180.0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54</v>
      </c>
      <c r="T5" s="7" t="s">
        <v>48</v>
      </c>
      <c r="U5" s="5" t="s">
        <v>38</v>
      </c>
      <c r="V5" s="5" t="s">
        <v>39</v>
      </c>
      <c r="W5" s="5" t="s">
        <v>39</v>
      </c>
      <c r="X5" s="5" t="s">
        <v>49</v>
      </c>
      <c r="Y5" s="4"/>
      <c r="Z5" s="4"/>
      <c r="AA5" s="4"/>
      <c r="AB5" s="4"/>
      <c r="AC5" s="4"/>
      <c r="AD5" s="4"/>
    </row>
    <row r="6">
      <c r="A6" s="9" t="s">
        <v>56</v>
      </c>
      <c r="B6" s="5" t="s">
        <v>57</v>
      </c>
      <c r="C6" s="5" t="s">
        <v>26</v>
      </c>
      <c r="D6" s="5" t="s">
        <v>27</v>
      </c>
      <c r="E6" s="5" t="s">
        <v>58</v>
      </c>
      <c r="F6" s="5" t="s">
        <v>59</v>
      </c>
      <c r="G6" s="6">
        <v>176.0</v>
      </c>
      <c r="H6" s="8">
        <f t="shared" si="1"/>
        <v>143.5483193</v>
      </c>
      <c r="I6" s="8">
        <f t="shared" si="2"/>
        <v>341.5966387</v>
      </c>
      <c r="J6" s="8">
        <f t="shared" si="3"/>
        <v>341.5966387</v>
      </c>
      <c r="K6" s="8">
        <f t="shared" si="4"/>
        <v>406.5</v>
      </c>
      <c r="L6" s="5" t="s">
        <v>60</v>
      </c>
      <c r="M6" s="5" t="s">
        <v>31</v>
      </c>
      <c r="N6" s="7">
        <v>5996.0</v>
      </c>
      <c r="O6" s="5" t="s">
        <v>32</v>
      </c>
      <c r="P6" s="5" t="s">
        <v>33</v>
      </c>
      <c r="Q6" s="5" t="s">
        <v>34</v>
      </c>
      <c r="R6" s="5" t="s">
        <v>35</v>
      </c>
      <c r="S6" s="5" t="s">
        <v>61</v>
      </c>
      <c r="T6" s="7" t="s">
        <v>37</v>
      </c>
      <c r="U6" s="5" t="s">
        <v>38</v>
      </c>
      <c r="V6" s="5" t="s">
        <v>39</v>
      </c>
      <c r="W6" s="5" t="s">
        <v>39</v>
      </c>
      <c r="X6" s="5" t="s">
        <v>40</v>
      </c>
      <c r="Y6" s="4"/>
      <c r="Z6" s="4"/>
      <c r="AA6" s="4"/>
      <c r="AB6" s="4"/>
      <c r="AC6" s="4"/>
      <c r="AD6" s="4"/>
    </row>
    <row r="7">
      <c r="A7" s="9" t="s">
        <v>56</v>
      </c>
      <c r="B7" s="5" t="s">
        <v>57</v>
      </c>
      <c r="C7" s="5" t="s">
        <v>41</v>
      </c>
      <c r="D7" s="5" t="s">
        <v>42</v>
      </c>
      <c r="E7" s="5" t="s">
        <v>58</v>
      </c>
      <c r="F7" s="5" t="s">
        <v>59</v>
      </c>
      <c r="G7" s="6">
        <v>229.9</v>
      </c>
      <c r="H7" s="8">
        <f t="shared" si="1"/>
        <v>188.842437</v>
      </c>
      <c r="I7" s="8">
        <f t="shared" si="2"/>
        <v>432.1848739</v>
      </c>
      <c r="J7" s="8">
        <f t="shared" si="3"/>
        <v>432.1848739</v>
      </c>
      <c r="K7" s="8">
        <f t="shared" si="4"/>
        <v>514.3</v>
      </c>
      <c r="L7" s="5" t="s">
        <v>30</v>
      </c>
      <c r="M7" s="5" t="s">
        <v>43</v>
      </c>
      <c r="N7" s="7">
        <v>883.0</v>
      </c>
      <c r="O7" s="5" t="s">
        <v>44</v>
      </c>
      <c r="P7" s="5" t="s">
        <v>45</v>
      </c>
      <c r="Q7" s="5" t="s">
        <v>46</v>
      </c>
      <c r="R7" s="5" t="s">
        <v>47</v>
      </c>
      <c r="S7" s="5" t="s">
        <v>61</v>
      </c>
      <c r="T7" s="7" t="s">
        <v>48</v>
      </c>
      <c r="U7" s="5" t="s">
        <v>38</v>
      </c>
      <c r="V7" s="5" t="s">
        <v>39</v>
      </c>
      <c r="W7" s="5" t="s">
        <v>39</v>
      </c>
      <c r="X7" s="5" t="s">
        <v>49</v>
      </c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2024-08-12T15:47:37Z</dcterms:created>
  <dc:creator>Marc Wesenberg</dc:creator>
</cp:coreProperties>
</file>